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mta\Downloads\excel practice\"/>
    </mc:Choice>
  </mc:AlternateContent>
  <xr:revisionPtr revIDLastSave="0" documentId="8_{36B9DDAE-7AA3-4AD5-B23A-11B866132706}" xr6:coauthVersionLast="47" xr6:coauthVersionMax="47" xr10:uidLastSave="{00000000-0000-0000-0000-000000000000}"/>
  <bookViews>
    <workbookView xWindow="3128" yWindow="3128" windowWidth="16200" windowHeight="9307" activeTab="2" xr2:uid="{00000000-000D-0000-FFFF-FFFF00000000}"/>
  </bookViews>
  <sheets>
    <sheet name="Sheet2" sheetId="3" r:id="rId1"/>
    <sheet name="Sheet5" sheetId="6" r:id="rId2"/>
    <sheet name="Sheet6" sheetId="7" r:id="rId3"/>
    <sheet name="Sales_Data" sheetId="1" r:id="rId4"/>
    <sheet name="Sheet3" sheetId="4" r:id="rId5"/>
    <sheet name="Sheet1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 a="1"/>
  <c r="D2" i="4" s="1"/>
  <c r="D3" i="4" a="1"/>
  <c r="D3" i="4"/>
  <c r="D4" i="4" a="1"/>
  <c r="D4" i="4"/>
  <c r="D5" i="4" a="1"/>
  <c r="D5" i="4"/>
  <c r="D6" i="4" a="1"/>
  <c r="D6" i="4"/>
  <c r="D7" i="4" a="1"/>
  <c r="D7" i="4"/>
  <c r="D8" i="4" a="1"/>
  <c r="D8" i="4"/>
  <c r="D9" i="4" a="1"/>
  <c r="D9" i="4"/>
  <c r="D10" i="4" a="1"/>
  <c r="D10" i="4"/>
  <c r="F13" i="2"/>
  <c r="F12" i="2"/>
  <c r="I2" i="1"/>
  <c r="J2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F10" i="2" l="1"/>
  <c r="F11" i="2"/>
  <c r="F9" i="2"/>
  <c r="F8" i="2"/>
  <c r="F7" i="2"/>
  <c r="F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<sst xmlns="http://schemas.openxmlformats.org/spreadsheetml/2006/main" count="2578" uniqueCount="224">
  <si>
    <t>order_id</t>
  </si>
  <si>
    <t>order_date</t>
  </si>
  <si>
    <t>customer</t>
  </si>
  <si>
    <t>product</t>
  </si>
  <si>
    <t>category</t>
  </si>
  <si>
    <t>quantity</t>
  </si>
  <si>
    <t>unit_price</t>
  </si>
  <si>
    <t>region</t>
  </si>
  <si>
    <t>total_revenue</t>
  </si>
  <si>
    <t>2024-05-04</t>
  </si>
  <si>
    <t>Nora</t>
  </si>
  <si>
    <t>Table</t>
  </si>
  <si>
    <t>Furniture</t>
  </si>
  <si>
    <t>Europe</t>
  </si>
  <si>
    <t>2024-04-16</t>
  </si>
  <si>
    <t>Maria</t>
  </si>
  <si>
    <t>Phone</t>
  </si>
  <si>
    <t>Electronics</t>
  </si>
  <si>
    <t>2024-03-08</t>
  </si>
  <si>
    <t>Tom</t>
  </si>
  <si>
    <t>USA</t>
  </si>
  <si>
    <t>2024-05-23</t>
  </si>
  <si>
    <t>Keyboard</t>
  </si>
  <si>
    <t>2024-02-03</t>
  </si>
  <si>
    <t>Noah</t>
  </si>
  <si>
    <t>Asia</t>
  </si>
  <si>
    <t>2024-01-23</t>
  </si>
  <si>
    <t>Elif</t>
  </si>
  <si>
    <t>Mouse</t>
  </si>
  <si>
    <t>2024-04-14</t>
  </si>
  <si>
    <t>Sara</t>
  </si>
  <si>
    <t>2024-06-10</t>
  </si>
  <si>
    <t>Omar</t>
  </si>
  <si>
    <t>2024-03-03</t>
  </si>
  <si>
    <t>2024-03-10</t>
  </si>
  <si>
    <t>Lina</t>
  </si>
  <si>
    <t>Chair</t>
  </si>
  <si>
    <t>2024-05-21</t>
  </si>
  <si>
    <t>Monitor</t>
  </si>
  <si>
    <t>2024-03-28</t>
  </si>
  <si>
    <t>2024-01-30</t>
  </si>
  <si>
    <t>Desk</t>
  </si>
  <si>
    <t>2024-01-21</t>
  </si>
  <si>
    <t>Jonas</t>
  </si>
  <si>
    <t>2024-04-17</t>
  </si>
  <si>
    <t>2024-04-01</t>
  </si>
  <si>
    <t>2024-03-09</t>
  </si>
  <si>
    <t>2024-05-26</t>
  </si>
  <si>
    <t>2024-04-05</t>
  </si>
  <si>
    <t>2024-02-28</t>
  </si>
  <si>
    <t>2024-05-15</t>
  </si>
  <si>
    <t>2024-02-04</t>
  </si>
  <si>
    <t>Mehdi</t>
  </si>
  <si>
    <t>2024-05-07</t>
  </si>
  <si>
    <t>2024-03-29</t>
  </si>
  <si>
    <t>2024-01-14</t>
  </si>
  <si>
    <t>Laptop</t>
  </si>
  <si>
    <t>2024-01-11</t>
  </si>
  <si>
    <t>2024-04-11</t>
  </si>
  <si>
    <t>David</t>
  </si>
  <si>
    <t>2024-01-27</t>
  </si>
  <si>
    <t>Amina</t>
  </si>
  <si>
    <t>2024-04-06</t>
  </si>
  <si>
    <t>2024-01-17</t>
  </si>
  <si>
    <t>2024-04-28</t>
  </si>
  <si>
    <t>Headphones</t>
  </si>
  <si>
    <t>2024-02-22</t>
  </si>
  <si>
    <t>2024-05-27</t>
  </si>
  <si>
    <t>2024-06-24</t>
  </si>
  <si>
    <t>2024-02-13</t>
  </si>
  <si>
    <t>2024-04-24</t>
  </si>
  <si>
    <t>2024-05-03</t>
  </si>
  <si>
    <t>2024-05-16</t>
  </si>
  <si>
    <t>2024-04-09</t>
  </si>
  <si>
    <t>2024-03-01</t>
  </si>
  <si>
    <t>2024-05-24</t>
  </si>
  <si>
    <t>2024-05-05</t>
  </si>
  <si>
    <t>2024-06-08</t>
  </si>
  <si>
    <t>2024-03-19</t>
  </si>
  <si>
    <t>2024-05-13</t>
  </si>
  <si>
    <t>2024-04-27</t>
  </si>
  <si>
    <t>2024-05-18</t>
  </si>
  <si>
    <t>2024-03-02</t>
  </si>
  <si>
    <t>2024-03-20</t>
  </si>
  <si>
    <t>2024-06-03</t>
  </si>
  <si>
    <t>2024-03-24</t>
  </si>
  <si>
    <t>2024-02-25</t>
  </si>
  <si>
    <t>2024-03-12</t>
  </si>
  <si>
    <t>2024-03-18</t>
  </si>
  <si>
    <t>2024-02-07</t>
  </si>
  <si>
    <t>2024-06-17</t>
  </si>
  <si>
    <t>2024-05-08</t>
  </si>
  <si>
    <t>2024-03-17</t>
  </si>
  <si>
    <t>2024-01-26</t>
  </si>
  <si>
    <t>2024-02-18</t>
  </si>
  <si>
    <t>2024-01-15</t>
  </si>
  <si>
    <t>2024-03-21</t>
  </si>
  <si>
    <t>2024-05-30</t>
  </si>
  <si>
    <t>2024-03-06</t>
  </si>
  <si>
    <t>2024-03-11</t>
  </si>
  <si>
    <t>2024-06-16</t>
  </si>
  <si>
    <t>2024-05-11</t>
  </si>
  <si>
    <t>2024-03-25</t>
  </si>
  <si>
    <t>2024-02-16</t>
  </si>
  <si>
    <t>2024-01-02</t>
  </si>
  <si>
    <t>2024-05-28</t>
  </si>
  <si>
    <t>2024-05-02</t>
  </si>
  <si>
    <t>2024-02-15</t>
  </si>
  <si>
    <t>2024-01-03</t>
  </si>
  <si>
    <t>2024-01-01</t>
  </si>
  <si>
    <t>2024-05-06</t>
  </si>
  <si>
    <t>2024-06-18</t>
  </si>
  <si>
    <t>2024-04-25</t>
  </si>
  <si>
    <t>2024-04-21</t>
  </si>
  <si>
    <t>2024-01-24</t>
  </si>
  <si>
    <t>2024-03-04</t>
  </si>
  <si>
    <t>2024-01-13</t>
  </si>
  <si>
    <t>2024-05-20</t>
  </si>
  <si>
    <t>2024-06-01</t>
  </si>
  <si>
    <t>2024-03-07</t>
  </si>
  <si>
    <t>2024-02-10</t>
  </si>
  <si>
    <t>2024-06-26</t>
  </si>
  <si>
    <t>2024-06-06</t>
  </si>
  <si>
    <t>2024-05-01</t>
  </si>
  <si>
    <t>2024-02-08</t>
  </si>
  <si>
    <t>2024-01-18</t>
  </si>
  <si>
    <t>2024-03-22</t>
  </si>
  <si>
    <t>2024-05-17</t>
  </si>
  <si>
    <t>2024-03-23</t>
  </si>
  <si>
    <t>2024-02-24</t>
  </si>
  <si>
    <t>2024-04-26</t>
  </si>
  <si>
    <t>2024-03-13</t>
  </si>
  <si>
    <t>2024-04-19</t>
  </si>
  <si>
    <t>2024-04-04</t>
  </si>
  <si>
    <t>2024-01-07</t>
  </si>
  <si>
    <t>2024-01-20</t>
  </si>
  <si>
    <t>2024-01-08</t>
  </si>
  <si>
    <t>2024-03-16</t>
  </si>
  <si>
    <t>2024-01-25</t>
  </si>
  <si>
    <t>2024-02-06</t>
  </si>
  <si>
    <t>2024-02-29</t>
  </si>
  <si>
    <t>2024-02-20</t>
  </si>
  <si>
    <t>2024-06-19</t>
  </si>
  <si>
    <t>2024-03-14</t>
  </si>
  <si>
    <t>2024-02-02</t>
  </si>
  <si>
    <t>2024-04-12</t>
  </si>
  <si>
    <t>2024-06-14</t>
  </si>
  <si>
    <t>2024-02-23</t>
  </si>
  <si>
    <t>2024-01-31</t>
  </si>
  <si>
    <t>2024-01-22</t>
  </si>
  <si>
    <t>2024-04-23</t>
  </si>
  <si>
    <t>2024-05-12</t>
  </si>
  <si>
    <t>2024-01-05</t>
  </si>
  <si>
    <t>2024-04-13</t>
  </si>
  <si>
    <t>2024-05-10</t>
  </si>
  <si>
    <t>2024-03-30</t>
  </si>
  <si>
    <t>2024-02-14</t>
  </si>
  <si>
    <t>2024-02-01</t>
  </si>
  <si>
    <t>2024-06-09</t>
  </si>
  <si>
    <t>2024-01-29</t>
  </si>
  <si>
    <t>2024-06-05</t>
  </si>
  <si>
    <t>2024-04-15</t>
  </si>
  <si>
    <t>2024-01-09</t>
  </si>
  <si>
    <t>2024-02-27</t>
  </si>
  <si>
    <t>2024-04-07</t>
  </si>
  <si>
    <t>2024-04-18</t>
  </si>
  <si>
    <t>2024-05-19</t>
  </si>
  <si>
    <t>2024-05-29</t>
  </si>
  <si>
    <t>2024-04-10</t>
  </si>
  <si>
    <t>2024-04-29</t>
  </si>
  <si>
    <t>2024-06-13</t>
  </si>
  <si>
    <t>2024-03-15</t>
  </si>
  <si>
    <t>2024-04-08</t>
  </si>
  <si>
    <t>2024-04-02</t>
  </si>
  <si>
    <t>2024-05-25</t>
  </si>
  <si>
    <t>2024-06-07</t>
  </si>
  <si>
    <t>2024-06-11</t>
  </si>
  <si>
    <t>2024-01-28</t>
  </si>
  <si>
    <t>2024-02-19</t>
  </si>
  <si>
    <t>2024-05-22</t>
  </si>
  <si>
    <t>2024-04-30</t>
  </si>
  <si>
    <t>2024-06-12</t>
  </si>
  <si>
    <t>2024-05-14</t>
  </si>
  <si>
    <t>2024-05-09</t>
  </si>
  <si>
    <t>2024-02-11</t>
  </si>
  <si>
    <t>2024-06-15</t>
  </si>
  <si>
    <t>2024-02-21</t>
  </si>
  <si>
    <t>2024-02-12</t>
  </si>
  <si>
    <t>2024-03-05</t>
  </si>
  <si>
    <t>2024-04-03</t>
  </si>
  <si>
    <t>2024-06-04</t>
  </si>
  <si>
    <t>2024-06-27</t>
  </si>
  <si>
    <t>2024-01-19</t>
  </si>
  <si>
    <t>2024-01-16</t>
  </si>
  <si>
    <t>2024-03-27</t>
  </si>
  <si>
    <t>2024-01-10</t>
  </si>
  <si>
    <t>2024-02-05</t>
  </si>
  <si>
    <t>2024-02-09</t>
  </si>
  <si>
    <t>2024-01-04</t>
  </si>
  <si>
    <t>2024-06-23</t>
  </si>
  <si>
    <t>2024-02-17</t>
  </si>
  <si>
    <t>2024-04-20</t>
  </si>
  <si>
    <t>2024-02-26</t>
  </si>
  <si>
    <t>Summary</t>
  </si>
  <si>
    <t>Total company revenue</t>
  </si>
  <si>
    <t xml:space="preserve">Average order value </t>
  </si>
  <si>
    <t>Highest order</t>
  </si>
  <si>
    <t>Lowest order</t>
  </si>
  <si>
    <t>Row Labels</t>
  </si>
  <si>
    <t>Grand Total</t>
  </si>
  <si>
    <t>Sum of total_revenue</t>
  </si>
  <si>
    <t>Sum of unit_price</t>
  </si>
  <si>
    <t>Profit</t>
  </si>
  <si>
    <t>Price Band</t>
  </si>
  <si>
    <t>Total Revenue of Electronics</t>
  </si>
  <si>
    <t>Revenue For Europe + electronics</t>
  </si>
  <si>
    <t>How many orders from Asia</t>
  </si>
  <si>
    <t>Average unit price for Furniture</t>
  </si>
  <si>
    <t>Product</t>
  </si>
  <si>
    <t>Standard_price</t>
  </si>
  <si>
    <t>Ctegory_std</t>
  </si>
  <si>
    <t>Standard Price</t>
  </si>
  <si>
    <t>Price Check</t>
  </si>
  <si>
    <t>Formula1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</si>
</sst>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[big_excel_sales_practice.xlsx]Sheet2!PivotTable7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Sheet2!$A$4:$A$16</c:f>
              <c:multiLvlStrCache>
                <c:ptCount val="8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Electronics</c:v>
                  </c:pt>
                  <c:pt idx="7">
                    <c:v>Furniture</c:v>
                  </c:pt>
                </c:lvl>
                <c:lvl>
                  <c:pt idx="0">
                    <c:v>Asia</c:v>
                  </c:pt>
                  <c:pt idx="2">
                    <c:v>Europe</c:v>
                  </c:pt>
                  <c:pt idx="4">
                    <c:v>Formula1</c:v>
                  </c:pt>
                  <c:pt idx="6">
                    <c:v>USA</c:v>
                  </c:pt>
                </c:lvl>
              </c:multiLvlStrCache>
            </c:multiLvlStrRef>
          </c:cat>
          <c:val>
            <c:numRef>
              <c:f>Sheet2!$B$4:$B$16</c:f>
              <c:numCache>
                <c:formatCode>General</c:formatCode>
                <c:ptCount val="8"/>
                <c:pt idx="0">
                  <c:v>95021</c:v>
                </c:pt>
                <c:pt idx="1">
                  <c:v>64803</c:v>
                </c:pt>
                <c:pt idx="2">
                  <c:v>112050</c:v>
                </c:pt>
                <c:pt idx="3">
                  <c:v>51694</c:v>
                </c:pt>
                <c:pt idx="4">
                  <c:v>0</c:v>
                </c:pt>
                <c:pt idx="5">
                  <c:v>0</c:v>
                </c:pt>
                <c:pt idx="6">
                  <c:v>100556</c:v>
                </c:pt>
                <c:pt idx="7">
                  <c:v>47939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C-4462-A78D-EDA3D9F281C2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Sheet2!$A$4:$A$16</c:f>
              <c:multiLvlStrCache>
                <c:ptCount val="8"/>
                <c:lvl>
                  <c:pt idx="0">
                    <c:v>Electronics</c:v>
                  </c:pt>
                  <c:pt idx="1">
                    <c:v>Furniture</c:v>
                  </c:pt>
                  <c:pt idx="2">
                    <c:v>Electronics</c:v>
                  </c:pt>
                  <c:pt idx="3">
                    <c:v>Furniture</c:v>
                  </c:pt>
                  <c:pt idx="4">
                    <c:v>Electronics</c:v>
                  </c:pt>
                  <c:pt idx="5">
                    <c:v>Furniture</c:v>
                  </c:pt>
                  <c:pt idx="6">
                    <c:v>Electronics</c:v>
                  </c:pt>
                  <c:pt idx="7">
                    <c:v>Furniture</c:v>
                  </c:pt>
                </c:lvl>
                <c:lvl>
                  <c:pt idx="0">
                    <c:v>Asia</c:v>
                  </c:pt>
                  <c:pt idx="2">
                    <c:v>Europe</c:v>
                  </c:pt>
                  <c:pt idx="4">
                    <c:v>Formula1</c:v>
                  </c:pt>
                  <c:pt idx="6">
                    <c:v>USA</c:v>
                  </c:pt>
                </c:lvl>
              </c:multiLvlStrCache>
            </c:multiLvlStrRef>
          </c:cat>
          <c:val>
            <c:numRef>
              <c:f>Sheet2!$C$4:$C$16</c:f>
              <c:numCache>
                <c:formatCode>General</c:formatCode>
                <c:ptCount val="8"/>
                <c:pt idx="0">
                  <c:v>28912</c:v>
                </c:pt>
                <c:pt idx="1">
                  <c:v>16221</c:v>
                </c:pt>
                <c:pt idx="2">
                  <c:v>32728</c:v>
                </c:pt>
                <c:pt idx="3">
                  <c:v>15624</c:v>
                </c:pt>
                <c:pt idx="4">
                  <c:v>0</c:v>
                </c:pt>
                <c:pt idx="5">
                  <c:v>0</c:v>
                </c:pt>
                <c:pt idx="6">
                  <c:v>25905</c:v>
                </c:pt>
                <c:pt idx="7">
                  <c:v>13596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C-4462-A78D-EDA3D9F2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26223"/>
        <c:axId val="208330063"/>
      </c:barChart>
      <c:catAx>
        <c:axId val="20832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30063"/>
        <c:crosses val="autoZero"/>
        <c:auto val="1"/>
        <c:lblAlgn val="ctr"/>
        <c:lblOffset val="100"/>
        <c:noMultiLvlLbl val="0"/>
      </c:catAx>
      <c:valAx>
        <c:axId val="20833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2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[big_excel_sales_practice.xlsx]Sheet5!PivotTable9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Asia</c:v>
                </c:pt>
                <c:pt idx="1">
                  <c:v>Europe</c:v>
                </c:pt>
                <c:pt idx="2">
                  <c:v>USA</c:v>
                </c:pt>
                <c:pt idx="3">
                  <c:v>Formula1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159824</c:v>
                </c:pt>
                <c:pt idx="1">
                  <c:v>163744</c:v>
                </c:pt>
                <c:pt idx="2">
                  <c:v>148495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4-4836-9672-91466DD2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610351"/>
        <c:axId val="572618991"/>
      </c:barChart>
      <c:catAx>
        <c:axId val="57261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18991"/>
        <c:crosses val="autoZero"/>
        <c:auto val="1"/>
        <c:lblAlgn val="ctr"/>
        <c:lblOffset val="100"/>
        <c:noMultiLvlLbl val="0"/>
      </c:catAx>
      <c:valAx>
        <c:axId val="5726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1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[big_excel_sales_practice.xlsx]Sheet6!PivotTable10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Sheet6!$A$4:$A$13</c:f>
              <c:strCache>
                <c:ptCount val="9"/>
                <c:pt idx="0">
                  <c:v>Chair</c:v>
                </c:pt>
                <c:pt idx="1">
                  <c:v>Desk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Phone</c:v>
                </c:pt>
                <c:pt idx="8">
                  <c:v>Table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9"/>
                <c:pt idx="0">
                  <c:v>21243</c:v>
                </c:pt>
                <c:pt idx="1">
                  <c:v>69347</c:v>
                </c:pt>
                <c:pt idx="2">
                  <c:v>16638</c:v>
                </c:pt>
                <c:pt idx="3">
                  <c:v>7485</c:v>
                </c:pt>
                <c:pt idx="4">
                  <c:v>150407</c:v>
                </c:pt>
                <c:pt idx="5">
                  <c:v>40906</c:v>
                </c:pt>
                <c:pt idx="6">
                  <c:v>4869</c:v>
                </c:pt>
                <c:pt idx="7">
                  <c:v>87322</c:v>
                </c:pt>
                <c:pt idx="8">
                  <c:v>73846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2-4ECA-A6D1-9A533FF7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188095"/>
        <c:axId val="746188575"/>
      </c:barChart>
      <c:catAx>
        <c:axId val="7461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88575"/>
        <c:crosses val="autoZero"/>
        <c:auto val="1"/>
        <c:lblAlgn val="ctr"/>
        <c:lblOffset val="100"/>
        <c:noMultiLvlLbl val="0"/>
      </c:catAx>
      <c:valAx>
        <c:axId val="74618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1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40480</xdr:colOff>
      <xdr:row>2</xdr:row>
      <xdr:rowOff>14288</xdr:rowOff>
    </xdr:from>
    <xdr:to>
      <xdr:col>25</xdr:col>
      <xdr:colOff>35718</xdr:colOff>
      <xdr:row>17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A32AE-4D8F-77AD-3F8C-D12ADB94B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497680</xdr:colOff>
      <xdr:row>7</xdr:row>
      <xdr:rowOff>47625</xdr:rowOff>
    </xdr:from>
    <xdr:to>
      <xdr:col>9</xdr:col>
      <xdr:colOff>535780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2862A-2E94-CC7C-CA6F-07C357679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40480</xdr:colOff>
      <xdr:row>1</xdr:row>
      <xdr:rowOff>71437</xdr:rowOff>
    </xdr:from>
    <xdr:to>
      <xdr:col>10</xdr:col>
      <xdr:colOff>78580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C3D53-40A5-16A5-6F56-2B3764648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mtahena Shahid" refreshedDate="46019.896632175929" createdVersion="8" refreshedVersion="8" minRefreshableVersion="3" recordCount="500" xr:uid="{CD124C0B-BB01-4586-8D17-0275FCA98D01}">
  <cacheSource type="worksheet">
    <worksheetSource name="Table1"/>
  </cacheSource>
  <cacheFields count="9">
    <cacheField name="order_id" numFmtId="0">
      <sharedItems containsSemiMixedTypes="0" containsString="0" containsNumber="1" containsInteger="1" minValue="3001" maxValue="3500"/>
    </cacheField>
    <cacheField name="order_date" numFmtId="0">
      <sharedItems/>
    </cacheField>
    <cacheField name="customer" numFmtId="0">
      <sharedItems/>
    </cacheField>
    <cacheField name="product" numFmtId="0">
      <sharedItems count="9">
        <s v="Table"/>
        <s v="Phone"/>
        <s v="Keyboard"/>
        <s v="Mouse"/>
        <s v="Chair"/>
        <s v="Monitor"/>
        <s v="Desk"/>
        <s v="Laptop"/>
        <s v="Headphones"/>
      </sharedItems>
    </cacheField>
    <cacheField name="category" numFmtId="0">
      <sharedItems count="2">
        <s v="Furniture"/>
        <s v="Electronics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-25" maxValue="946"/>
    </cacheField>
    <cacheField name="region" numFmtId="0">
      <sharedItems count="4">
        <s v="Europe"/>
        <s v="USA"/>
        <s v="Asia"/>
        <s v="Formula1" f="1"/>
      </sharedItems>
    </cacheField>
    <cacheField name="total_revenue" numFmtId="0">
      <sharedItems containsSemiMixedTypes="0" containsString="0" containsNumber="1" containsInteger="1" minValue="-126" maxValue="5670" count="420">
        <n v="746"/>
        <n v="938"/>
        <n v="794"/>
        <n v="88"/>
        <n v="1173"/>
        <n v="0"/>
        <n v="1362"/>
        <n v="409"/>
        <n v="147"/>
        <n v="360"/>
        <n v="942"/>
        <n v="1776"/>
        <n v="1536"/>
        <n v="-36"/>
        <n v="333"/>
        <n v="176"/>
        <n v="373"/>
        <n v="-65"/>
        <n v="462"/>
        <n v="395"/>
        <n v="208"/>
        <n v="34"/>
        <n v="174"/>
        <n v="72"/>
        <n v="1140"/>
        <n v="276"/>
        <n v="5232"/>
        <n v="918"/>
        <n v="2637"/>
        <n v="289"/>
        <n v="186"/>
        <n v="1375"/>
        <n v="385"/>
        <n v="808"/>
        <n v="212"/>
        <n v="348"/>
        <n v="355"/>
        <n v="582"/>
        <n v="61"/>
        <n v="1233"/>
        <n v="450"/>
        <n v="116"/>
        <n v="324"/>
        <n v="855"/>
        <n v="267"/>
        <n v="90"/>
        <n v="296"/>
        <n v="3528"/>
        <n v="1722"/>
        <n v="1702"/>
        <n v="213"/>
        <n v="1236"/>
        <n v="915"/>
        <n v="1240"/>
        <n v="470"/>
        <n v="347"/>
        <n v="840"/>
        <n v="876"/>
        <n v="-18"/>
        <n v="933"/>
        <n v="425"/>
        <n v="3740"/>
        <n v="2475"/>
        <n v="318"/>
        <n v="350"/>
        <n v="1468"/>
        <n v="332"/>
        <n v="1876"/>
        <n v="230"/>
        <n v="225"/>
        <n v="295"/>
        <n v="556"/>
        <n v="-126"/>
        <n v="135"/>
        <n v="210"/>
        <n v="616"/>
        <n v="2790"/>
        <n v="-12"/>
        <n v="1300"/>
        <n v="2052"/>
        <n v="290"/>
        <n v="156"/>
        <n v="4525"/>
        <n v="565"/>
        <n v="690"/>
        <n v="1992"/>
        <n v="560"/>
        <n v="264"/>
        <n v="2715"/>
        <n v="308"/>
        <n v="972"/>
        <n v="1445"/>
        <n v="1264"/>
        <n v="964"/>
        <n v="564"/>
        <n v="126"/>
        <n v="1835"/>
        <n v="321"/>
        <n v="902"/>
        <n v="1600"/>
        <n v="2958"/>
        <n v="714"/>
        <n v="725"/>
        <n v="391"/>
        <n v="192"/>
        <n v="-24"/>
        <n v="1295"/>
        <n v="55"/>
        <n v="822"/>
        <n v="238"/>
        <n v="844"/>
        <n v="2082"/>
        <n v="165"/>
        <n v="52"/>
        <n v="1746"/>
        <n v="1690"/>
        <n v="1266"/>
        <n v="408"/>
        <n v="122"/>
        <n v="879"/>
        <n v="102"/>
        <n v="438"/>
        <n v="398"/>
        <n v="46"/>
        <n v="26"/>
        <n v="1074"/>
        <n v="400"/>
        <n v="480"/>
        <n v="920"/>
        <n v="108"/>
        <n v="806"/>
        <n v="1384"/>
        <n v="374"/>
        <n v="926"/>
        <n v="747"/>
        <n v="280"/>
        <n v="1560"/>
        <n v="24"/>
        <n v="818"/>
        <n v="1932"/>
        <n v="864"/>
        <n v="570"/>
        <n v="325"/>
        <n v="540"/>
        <n v="160"/>
        <n v="852"/>
        <n v="1122"/>
        <n v="626"/>
        <n v="372"/>
        <n v="340"/>
        <n v="550"/>
        <n v="1435"/>
        <n v="2040"/>
        <n v="696"/>
        <n v="51"/>
        <n v="237"/>
        <n v="1520"/>
        <n v="732"/>
        <n v="45"/>
        <n v="2365"/>
        <n v="216"/>
        <n v="1104"/>
        <n v="1076"/>
        <n v="6"/>
        <n v="101"/>
        <n v="1830"/>
        <n v="305"/>
        <n v="1364"/>
        <n v="-34"/>
        <n v="1380"/>
        <n v="1692"/>
        <n v="928"/>
        <n v="552"/>
        <n v="180"/>
        <n v="975"/>
        <n v="222"/>
        <n v="927"/>
        <n v="860"/>
        <n v="104"/>
        <n v="38"/>
        <n v="3600"/>
        <n v="1852"/>
        <n v="275"/>
        <n v="2160"/>
        <n v="1842"/>
        <n v="604"/>
        <n v="1710"/>
        <n v="1268"/>
        <n v="1888"/>
        <n v="175"/>
        <n v="5478"/>
        <n v="868"/>
        <n v="220"/>
        <n v="140"/>
        <n v="228"/>
        <n v="1020"/>
        <n v="968"/>
        <n v="195"/>
        <n v="30"/>
        <n v="1377"/>
        <n v="138"/>
        <n v="1590"/>
        <n v="2556"/>
        <n v="1120"/>
        <n v="1404"/>
        <n v="786"/>
        <n v="872"/>
        <n v="3496"/>
        <n v="368"/>
        <n v="-4"/>
        <n v="680"/>
        <n v="1256"/>
        <n v="-60"/>
        <n v="579"/>
        <n v="504"/>
        <n v="3784"/>
        <n v="315"/>
        <n v="129"/>
        <n v="1316"/>
        <n v="-102"/>
        <n v="28"/>
        <n v="442"/>
        <n v="1800"/>
        <n v="263"/>
        <n v="2450"/>
        <n v="4620"/>
        <n v="1836"/>
        <n v="-30"/>
        <n v="3732"/>
        <n v="2330"/>
        <n v="740"/>
        <n v="-15"/>
        <n v="2460"/>
        <n v="4405"/>
        <n v="506"/>
        <n v="712"/>
        <n v="200"/>
        <n v="765"/>
        <n v="-22"/>
        <n v="384"/>
        <n v="-78"/>
        <n v="1008"/>
        <n v="5292"/>
        <n v="2910"/>
        <n v="1205"/>
        <n v="4700"/>
        <n v="124"/>
        <n v="1858"/>
        <n v="-46"/>
        <n v="197"/>
        <n v="3640"/>
        <n v="1092"/>
        <n v="1212"/>
        <n v="720"/>
        <n v="2508"/>
        <n v="1014"/>
        <n v="812"/>
        <n v="306"/>
        <n v="3476"/>
        <n v="1194"/>
        <n v="111"/>
        <n v="750"/>
        <n v="1288"/>
        <n v="236"/>
        <n v="1143"/>
        <n v="132"/>
        <n v="880"/>
        <n v="1812"/>
        <n v="252"/>
        <n v="1595"/>
        <n v="2175"/>
        <n v="2322"/>
        <n v="190"/>
        <n v="2868"/>
        <n v="1848"/>
        <n v="994"/>
        <n v="-76"/>
        <n v="-10"/>
        <n v="-14"/>
        <n v="337"/>
        <n v="2754"/>
        <n v="5670"/>
        <n v="-33"/>
        <n v="1389"/>
        <n v="486"/>
        <n v="405"/>
        <n v="161"/>
        <n v="330"/>
        <n v="1041"/>
        <n v="2826"/>
        <n v="150"/>
        <n v="2769"/>
        <n v="1350"/>
        <n v="284"/>
        <n v="246"/>
        <n v="206"/>
        <n v="2676"/>
        <n v="1845"/>
        <n v="2106"/>
        <n v="3488"/>
        <n v="1340"/>
        <n v="576"/>
        <n v="666"/>
        <n v="2010"/>
        <n v="896"/>
        <n v="383"/>
        <n v="498"/>
        <n v="218"/>
        <n v="1794"/>
        <n v="365"/>
        <n v="48"/>
        <n v="248"/>
        <n v="14"/>
        <n v="1854"/>
        <n v="2226"/>
        <n v="1645"/>
        <n v="780"/>
        <n v="80"/>
        <n v="1145"/>
        <n v="1476"/>
        <n v="4665"/>
        <n v="240"/>
        <n v="861"/>
        <n v="1368"/>
        <n v="-75"/>
        <n v="21"/>
        <n v="492"/>
        <n v="319"/>
        <n v="1516"/>
        <n v="1864"/>
        <n v="2298"/>
        <n v="2142"/>
        <n v="68"/>
        <n v="5556"/>
        <n v="1625"/>
        <n v="888"/>
        <n v="1568"/>
        <n v="1865"/>
        <n v="451"/>
        <n v="279"/>
        <n v="44"/>
        <n v="4355"/>
        <n v="3404"/>
        <n v="1113"/>
        <n v="270"/>
        <n v="2799"/>
        <n v="510"/>
        <n v="1708"/>
        <n v="100"/>
        <n v="1818"/>
        <n v="256"/>
        <n v="1356"/>
        <n v="33"/>
        <n v="1565"/>
        <n v="634"/>
        <n v="411"/>
        <n v="1610"/>
        <n v="40"/>
        <n v="948"/>
        <n v="414"/>
        <n v="832"/>
        <n v="500"/>
        <n v="1782"/>
        <n v="66"/>
        <n v="838"/>
        <n v="431"/>
        <n v="1700"/>
        <n v="201"/>
        <n v="630"/>
        <n v="1344"/>
        <n v="2358"/>
        <n v="397"/>
        <n v="484"/>
        <n v="1734"/>
        <n v="3780"/>
        <n v="4285"/>
        <n v="528"/>
        <n v="235"/>
        <n v="2060"/>
        <n v="4370"/>
        <n v="1304"/>
        <n v="752"/>
        <n v="112"/>
        <n v="-105"/>
        <n v="465"/>
        <n v="744"/>
        <n v="109"/>
        <n v="168"/>
        <n v="120"/>
        <n v="-16"/>
        <n v="2601"/>
        <n v="477"/>
        <n v="810"/>
        <n v="924"/>
        <n v="432"/>
        <n v="2922"/>
        <n v="1182"/>
        <n v="214"/>
        <n v="92"/>
        <n v="339"/>
        <n v="1482"/>
        <n v="1716"/>
        <n v="-100"/>
        <n v="415"/>
        <n v="53"/>
        <n v="105"/>
        <n v="580"/>
        <n v="10"/>
        <n v="5466"/>
        <n v="250"/>
        <n v="2148"/>
        <n v="592"/>
        <n v="1420"/>
        <n v="899"/>
        <n v="8"/>
        <n v="205"/>
        <n v="356"/>
        <n v="1780"/>
        <n v="320"/>
        <n v="825"/>
      </sharedItems>
    </cacheField>
  </cacheFields>
  <calculatedItems count="1">
    <calculatedItem formula=" 0">
      <pivotArea cacheIndex="1" outline="0" fieldPosition="0">
        <references count="1">
          <reference field="7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3001"/>
    <s v="2024-05-04"/>
    <s v="Nora"/>
    <x v="0"/>
    <x v="0"/>
    <n v="2"/>
    <n v="373"/>
    <x v="0"/>
    <x v="0"/>
  </r>
  <r>
    <n v="3002"/>
    <s v="2024-04-16"/>
    <s v="Maria"/>
    <x v="1"/>
    <x v="1"/>
    <n v="2"/>
    <n v="469"/>
    <x v="0"/>
    <x v="1"/>
  </r>
  <r>
    <n v="3003"/>
    <s v="2024-03-08"/>
    <s v="Tom"/>
    <x v="0"/>
    <x v="0"/>
    <n v="2"/>
    <n v="397"/>
    <x v="1"/>
    <x v="2"/>
  </r>
  <r>
    <n v="3004"/>
    <s v="2024-05-23"/>
    <s v="Maria"/>
    <x v="2"/>
    <x v="1"/>
    <n v="4"/>
    <n v="22"/>
    <x v="0"/>
    <x v="3"/>
  </r>
  <r>
    <n v="3005"/>
    <s v="2024-02-03"/>
    <s v="Noah"/>
    <x v="0"/>
    <x v="0"/>
    <n v="3"/>
    <n v="391"/>
    <x v="2"/>
    <x v="4"/>
  </r>
  <r>
    <n v="3006"/>
    <s v="2024-01-23"/>
    <s v="Elif"/>
    <x v="3"/>
    <x v="1"/>
    <n v="1"/>
    <n v="0"/>
    <x v="1"/>
    <x v="5"/>
  </r>
  <r>
    <n v="3007"/>
    <s v="2024-04-14"/>
    <s v="Sara"/>
    <x v="1"/>
    <x v="1"/>
    <n v="3"/>
    <n v="454"/>
    <x v="1"/>
    <x v="6"/>
  </r>
  <r>
    <n v="3008"/>
    <s v="2024-06-10"/>
    <s v="Omar"/>
    <x v="1"/>
    <x v="1"/>
    <n v="1"/>
    <n v="409"/>
    <x v="2"/>
    <x v="7"/>
  </r>
  <r>
    <n v="3009"/>
    <s v="2024-03-03"/>
    <s v="Omar"/>
    <x v="2"/>
    <x v="1"/>
    <n v="3"/>
    <n v="49"/>
    <x v="0"/>
    <x v="8"/>
  </r>
  <r>
    <n v="3010"/>
    <s v="2024-03-10"/>
    <s v="Lina"/>
    <x v="4"/>
    <x v="0"/>
    <n v="6"/>
    <n v="60"/>
    <x v="2"/>
    <x v="9"/>
  </r>
  <r>
    <n v="3011"/>
    <s v="2024-05-21"/>
    <s v="Maria"/>
    <x v="5"/>
    <x v="1"/>
    <n v="6"/>
    <n v="157"/>
    <x v="2"/>
    <x v="10"/>
  </r>
  <r>
    <n v="3012"/>
    <s v="2024-03-28"/>
    <s v="Omar"/>
    <x v="1"/>
    <x v="1"/>
    <n v="4"/>
    <n v="444"/>
    <x v="2"/>
    <x v="11"/>
  </r>
  <r>
    <n v="3013"/>
    <s v="2024-01-30"/>
    <s v="Tom"/>
    <x v="6"/>
    <x v="0"/>
    <n v="6"/>
    <n v="256"/>
    <x v="2"/>
    <x v="12"/>
  </r>
  <r>
    <n v="3014"/>
    <s v="2024-01-21"/>
    <s v="Jonas"/>
    <x v="3"/>
    <x v="1"/>
    <n v="6"/>
    <n v="-6"/>
    <x v="2"/>
    <x v="13"/>
  </r>
  <r>
    <n v="3015"/>
    <s v="2024-03-08"/>
    <s v="Omar"/>
    <x v="4"/>
    <x v="0"/>
    <n v="3"/>
    <n v="111"/>
    <x v="0"/>
    <x v="14"/>
  </r>
  <r>
    <n v="3016"/>
    <s v="2024-04-17"/>
    <s v="Tom"/>
    <x v="2"/>
    <x v="1"/>
    <n v="4"/>
    <n v="44"/>
    <x v="0"/>
    <x v="15"/>
  </r>
  <r>
    <n v="3017"/>
    <s v="2024-04-01"/>
    <s v="Maria"/>
    <x v="0"/>
    <x v="0"/>
    <n v="1"/>
    <n v="373"/>
    <x v="0"/>
    <x v="16"/>
  </r>
  <r>
    <n v="3018"/>
    <s v="2024-04-16"/>
    <s v="Elif"/>
    <x v="3"/>
    <x v="1"/>
    <n v="5"/>
    <n v="-13"/>
    <x v="1"/>
    <x v="17"/>
  </r>
  <r>
    <n v="3019"/>
    <s v="2024-03-09"/>
    <s v="Omar"/>
    <x v="5"/>
    <x v="1"/>
    <n v="2"/>
    <n v="231"/>
    <x v="1"/>
    <x v="18"/>
  </r>
  <r>
    <n v="3020"/>
    <s v="2024-05-26"/>
    <s v="Elif"/>
    <x v="4"/>
    <x v="0"/>
    <n v="5"/>
    <n v="79"/>
    <x v="1"/>
    <x v="19"/>
  </r>
  <r>
    <n v="3021"/>
    <s v="2024-04-05"/>
    <s v="Noah"/>
    <x v="4"/>
    <x v="0"/>
    <n v="2"/>
    <n v="104"/>
    <x v="2"/>
    <x v="20"/>
  </r>
  <r>
    <n v="3022"/>
    <s v="2024-02-28"/>
    <s v="Elif"/>
    <x v="2"/>
    <x v="1"/>
    <n v="2"/>
    <n v="17"/>
    <x v="2"/>
    <x v="21"/>
  </r>
  <r>
    <n v="3023"/>
    <s v="2024-05-15"/>
    <s v="Noah"/>
    <x v="2"/>
    <x v="1"/>
    <n v="6"/>
    <n v="29"/>
    <x v="1"/>
    <x v="22"/>
  </r>
  <r>
    <n v="3024"/>
    <s v="2024-02-04"/>
    <s v="Mehdi"/>
    <x v="3"/>
    <x v="1"/>
    <n v="1"/>
    <n v="72"/>
    <x v="2"/>
    <x v="23"/>
  </r>
  <r>
    <n v="3025"/>
    <s v="2024-05-07"/>
    <s v="Lina"/>
    <x v="6"/>
    <x v="0"/>
    <n v="4"/>
    <n v="285"/>
    <x v="0"/>
    <x v="24"/>
  </r>
  <r>
    <n v="3026"/>
    <s v="2024-03-29"/>
    <s v="Mehdi"/>
    <x v="3"/>
    <x v="1"/>
    <n v="6"/>
    <n v="46"/>
    <x v="1"/>
    <x v="25"/>
  </r>
  <r>
    <n v="3027"/>
    <s v="2024-01-14"/>
    <s v="Sara"/>
    <x v="7"/>
    <x v="1"/>
    <n v="6"/>
    <n v="872"/>
    <x v="0"/>
    <x v="26"/>
  </r>
  <r>
    <n v="3028"/>
    <s v="2024-01-11"/>
    <s v="Mehdi"/>
    <x v="7"/>
    <x v="1"/>
    <n v="1"/>
    <n v="918"/>
    <x v="0"/>
    <x v="27"/>
  </r>
  <r>
    <n v="3029"/>
    <s v="2024-04-14"/>
    <s v="Nora"/>
    <x v="7"/>
    <x v="1"/>
    <n v="3"/>
    <n v="879"/>
    <x v="2"/>
    <x v="28"/>
  </r>
  <r>
    <n v="3030"/>
    <s v="2024-04-11"/>
    <s v="David"/>
    <x v="6"/>
    <x v="0"/>
    <n v="1"/>
    <n v="289"/>
    <x v="0"/>
    <x v="29"/>
  </r>
  <r>
    <n v="3031"/>
    <s v="2024-03-10"/>
    <s v="Noah"/>
    <x v="2"/>
    <x v="1"/>
    <n v="3"/>
    <n v="62"/>
    <x v="1"/>
    <x v="30"/>
  </r>
  <r>
    <n v="3032"/>
    <s v="2024-01-27"/>
    <s v="Amina"/>
    <x v="6"/>
    <x v="0"/>
    <n v="5"/>
    <n v="275"/>
    <x v="1"/>
    <x v="31"/>
  </r>
  <r>
    <n v="3033"/>
    <s v="2024-04-06"/>
    <s v="David"/>
    <x v="2"/>
    <x v="1"/>
    <n v="5"/>
    <n v="77"/>
    <x v="2"/>
    <x v="32"/>
  </r>
  <r>
    <n v="3034"/>
    <s v="2024-01-17"/>
    <s v="Noah"/>
    <x v="1"/>
    <x v="1"/>
    <n v="2"/>
    <n v="404"/>
    <x v="0"/>
    <x v="33"/>
  </r>
  <r>
    <n v="3035"/>
    <s v="2024-05-04"/>
    <s v="Noah"/>
    <x v="2"/>
    <x v="1"/>
    <n v="4"/>
    <n v="53"/>
    <x v="2"/>
    <x v="34"/>
  </r>
  <r>
    <n v="3036"/>
    <s v="2024-04-28"/>
    <s v="Mehdi"/>
    <x v="8"/>
    <x v="1"/>
    <n v="3"/>
    <n v="116"/>
    <x v="2"/>
    <x v="35"/>
  </r>
  <r>
    <n v="3037"/>
    <s v="2024-02-22"/>
    <s v="Omar"/>
    <x v="2"/>
    <x v="1"/>
    <n v="5"/>
    <n v="71"/>
    <x v="1"/>
    <x v="36"/>
  </r>
  <r>
    <n v="3038"/>
    <s v="2024-05-27"/>
    <s v="Mehdi"/>
    <x v="4"/>
    <x v="0"/>
    <n v="6"/>
    <n v="97"/>
    <x v="2"/>
    <x v="37"/>
  </r>
  <r>
    <n v="3039"/>
    <s v="2024-06-24"/>
    <s v="Jonas"/>
    <x v="8"/>
    <x v="1"/>
    <n v="1"/>
    <n v="61"/>
    <x v="2"/>
    <x v="38"/>
  </r>
  <r>
    <n v="3040"/>
    <s v="2024-02-13"/>
    <s v="Tom"/>
    <x v="1"/>
    <x v="1"/>
    <n v="3"/>
    <n v="411"/>
    <x v="0"/>
    <x v="39"/>
  </r>
  <r>
    <n v="3041"/>
    <s v="2024-02-04"/>
    <s v="Mehdi"/>
    <x v="8"/>
    <x v="1"/>
    <n v="5"/>
    <n v="90"/>
    <x v="0"/>
    <x v="40"/>
  </r>
  <r>
    <n v="3042"/>
    <s v="2024-04-24"/>
    <s v="Jonas"/>
    <x v="2"/>
    <x v="1"/>
    <n v="2"/>
    <n v="58"/>
    <x v="0"/>
    <x v="41"/>
  </r>
  <r>
    <n v="3043"/>
    <s v="2024-05-03"/>
    <s v="Jonas"/>
    <x v="4"/>
    <x v="0"/>
    <n v="3"/>
    <n v="108"/>
    <x v="2"/>
    <x v="42"/>
  </r>
  <r>
    <n v="3044"/>
    <s v="2024-05-16"/>
    <s v="Jonas"/>
    <x v="7"/>
    <x v="1"/>
    <n v="1"/>
    <n v="855"/>
    <x v="2"/>
    <x v="43"/>
  </r>
  <r>
    <n v="3045"/>
    <s v="2024-04-09"/>
    <s v="Maria"/>
    <x v="6"/>
    <x v="0"/>
    <n v="1"/>
    <n v="267"/>
    <x v="1"/>
    <x v="44"/>
  </r>
  <r>
    <n v="3046"/>
    <s v="2024-03-01"/>
    <s v="Omar"/>
    <x v="8"/>
    <x v="1"/>
    <n v="1"/>
    <n v="90"/>
    <x v="2"/>
    <x v="45"/>
  </r>
  <r>
    <n v="3047"/>
    <s v="2024-05-24"/>
    <s v="Maria"/>
    <x v="2"/>
    <x v="1"/>
    <n v="4"/>
    <n v="74"/>
    <x v="1"/>
    <x v="46"/>
  </r>
  <r>
    <n v="3048"/>
    <s v="2024-05-05"/>
    <s v="Noah"/>
    <x v="5"/>
    <x v="1"/>
    <n v="4"/>
    <n v="202"/>
    <x v="1"/>
    <x v="33"/>
  </r>
  <r>
    <n v="3049"/>
    <s v="2024-06-08"/>
    <s v="Amina"/>
    <x v="7"/>
    <x v="1"/>
    <n v="4"/>
    <n v="882"/>
    <x v="2"/>
    <x v="47"/>
  </r>
  <r>
    <n v="3050"/>
    <s v="2024-03-01"/>
    <s v="Amina"/>
    <x v="7"/>
    <x v="1"/>
    <n v="2"/>
    <n v="861"/>
    <x v="2"/>
    <x v="48"/>
  </r>
  <r>
    <n v="3051"/>
    <s v="2024-01-17"/>
    <s v="Maria"/>
    <x v="7"/>
    <x v="1"/>
    <n v="2"/>
    <n v="851"/>
    <x v="2"/>
    <x v="49"/>
  </r>
  <r>
    <n v="3052"/>
    <s v="2024-03-03"/>
    <s v="Nora"/>
    <x v="3"/>
    <x v="1"/>
    <n v="3"/>
    <n v="71"/>
    <x v="0"/>
    <x v="50"/>
  </r>
  <r>
    <n v="3053"/>
    <s v="2024-03-19"/>
    <s v="Maria"/>
    <x v="6"/>
    <x v="0"/>
    <n v="4"/>
    <n v="309"/>
    <x v="0"/>
    <x v="51"/>
  </r>
  <r>
    <n v="3054"/>
    <s v="2024-06-10"/>
    <s v="Elif"/>
    <x v="5"/>
    <x v="1"/>
    <n v="5"/>
    <n v="183"/>
    <x v="0"/>
    <x v="52"/>
  </r>
  <r>
    <n v="3055"/>
    <s v="2024-02-22"/>
    <s v="Sara"/>
    <x v="6"/>
    <x v="0"/>
    <n v="4"/>
    <n v="310"/>
    <x v="0"/>
    <x v="53"/>
  </r>
  <r>
    <n v="3056"/>
    <s v="2024-05-13"/>
    <s v="Amina"/>
    <x v="4"/>
    <x v="0"/>
    <n v="5"/>
    <n v="94"/>
    <x v="0"/>
    <x v="54"/>
  </r>
  <r>
    <n v="3057"/>
    <s v="2024-04-27"/>
    <s v="Nora"/>
    <x v="6"/>
    <x v="0"/>
    <n v="1"/>
    <n v="347"/>
    <x v="1"/>
    <x v="55"/>
  </r>
  <r>
    <n v="3058"/>
    <s v="2024-05-18"/>
    <s v="Sara"/>
    <x v="5"/>
    <x v="1"/>
    <n v="4"/>
    <n v="210"/>
    <x v="1"/>
    <x v="56"/>
  </r>
  <r>
    <n v="3059"/>
    <s v="2024-03-01"/>
    <s v="Jonas"/>
    <x v="4"/>
    <x v="0"/>
    <n v="6"/>
    <n v="146"/>
    <x v="0"/>
    <x v="57"/>
  </r>
  <r>
    <n v="3060"/>
    <s v="2024-03-02"/>
    <s v="Omar"/>
    <x v="2"/>
    <x v="1"/>
    <n v="2"/>
    <n v="-9"/>
    <x v="2"/>
    <x v="58"/>
  </r>
  <r>
    <n v="3061"/>
    <s v="2024-03-20"/>
    <s v="Omar"/>
    <x v="0"/>
    <x v="0"/>
    <n v="3"/>
    <n v="311"/>
    <x v="2"/>
    <x v="59"/>
  </r>
  <r>
    <n v="3062"/>
    <s v="2024-06-03"/>
    <s v="Noah"/>
    <x v="1"/>
    <x v="1"/>
    <n v="1"/>
    <n v="425"/>
    <x v="0"/>
    <x v="60"/>
  </r>
  <r>
    <n v="3063"/>
    <s v="2024-03-24"/>
    <s v="Jonas"/>
    <x v="7"/>
    <x v="1"/>
    <n v="4"/>
    <n v="935"/>
    <x v="1"/>
    <x v="61"/>
  </r>
  <r>
    <n v="3064"/>
    <s v="2024-02-25"/>
    <s v="Elif"/>
    <x v="1"/>
    <x v="1"/>
    <n v="5"/>
    <n v="495"/>
    <x v="1"/>
    <x v="62"/>
  </r>
  <r>
    <n v="3065"/>
    <s v="2024-03-12"/>
    <s v="Nora"/>
    <x v="8"/>
    <x v="1"/>
    <n v="3"/>
    <n v="106"/>
    <x v="0"/>
    <x v="63"/>
  </r>
  <r>
    <n v="3066"/>
    <s v="2024-05-05"/>
    <s v="Amina"/>
    <x v="8"/>
    <x v="1"/>
    <n v="5"/>
    <n v="70"/>
    <x v="2"/>
    <x v="64"/>
  </r>
  <r>
    <n v="3067"/>
    <s v="2024-03-18"/>
    <s v="Jonas"/>
    <x v="0"/>
    <x v="0"/>
    <n v="4"/>
    <n v="367"/>
    <x v="0"/>
    <x v="65"/>
  </r>
  <r>
    <n v="3068"/>
    <s v="2024-05-13"/>
    <s v="David"/>
    <x v="8"/>
    <x v="1"/>
    <n v="4"/>
    <n v="83"/>
    <x v="0"/>
    <x v="66"/>
  </r>
  <r>
    <n v="3069"/>
    <s v="2024-02-07"/>
    <s v="Elif"/>
    <x v="1"/>
    <x v="1"/>
    <n v="4"/>
    <n v="469"/>
    <x v="2"/>
    <x v="67"/>
  </r>
  <r>
    <n v="3070"/>
    <s v="2024-06-17"/>
    <s v="Omar"/>
    <x v="4"/>
    <x v="0"/>
    <n v="2"/>
    <n v="115"/>
    <x v="1"/>
    <x v="68"/>
  </r>
  <r>
    <n v="3071"/>
    <s v="2024-05-08"/>
    <s v="David"/>
    <x v="8"/>
    <x v="1"/>
    <n v="5"/>
    <n v="45"/>
    <x v="0"/>
    <x v="69"/>
  </r>
  <r>
    <n v="3072"/>
    <s v="2024-05-21"/>
    <s v="Nora"/>
    <x v="2"/>
    <x v="1"/>
    <n v="5"/>
    <n v="59"/>
    <x v="0"/>
    <x v="70"/>
  </r>
  <r>
    <n v="3073"/>
    <s v="2024-03-17"/>
    <s v="Lina"/>
    <x v="6"/>
    <x v="0"/>
    <n v="2"/>
    <n v="278"/>
    <x v="0"/>
    <x v="71"/>
  </r>
  <r>
    <n v="3074"/>
    <s v="2024-05-07"/>
    <s v="Elif"/>
    <x v="3"/>
    <x v="1"/>
    <n v="6"/>
    <n v="-21"/>
    <x v="0"/>
    <x v="72"/>
  </r>
  <r>
    <n v="3075"/>
    <s v="2024-05-27"/>
    <s v="Lina"/>
    <x v="3"/>
    <x v="1"/>
    <n v="3"/>
    <n v="45"/>
    <x v="1"/>
    <x v="73"/>
  </r>
  <r>
    <n v="3076"/>
    <s v="2024-01-26"/>
    <s v="Omar"/>
    <x v="4"/>
    <x v="0"/>
    <n v="2"/>
    <n v="105"/>
    <x v="0"/>
    <x v="74"/>
  </r>
  <r>
    <n v="3077"/>
    <s v="2024-06-03"/>
    <s v="Elif"/>
    <x v="6"/>
    <x v="0"/>
    <n v="2"/>
    <n v="308"/>
    <x v="2"/>
    <x v="75"/>
  </r>
  <r>
    <n v="3078"/>
    <s v="2024-04-09"/>
    <s v="Amina"/>
    <x v="7"/>
    <x v="1"/>
    <n v="3"/>
    <n v="930"/>
    <x v="0"/>
    <x v="76"/>
  </r>
  <r>
    <n v="3079"/>
    <s v="2024-02-18"/>
    <s v="Tom"/>
    <x v="2"/>
    <x v="1"/>
    <n v="1"/>
    <n v="-12"/>
    <x v="0"/>
    <x v="77"/>
  </r>
  <r>
    <n v="3080"/>
    <s v="2024-01-15"/>
    <s v="Elif"/>
    <x v="6"/>
    <x v="0"/>
    <n v="4"/>
    <n v="325"/>
    <x v="1"/>
    <x v="78"/>
  </r>
  <r>
    <n v="3081"/>
    <s v="2024-03-21"/>
    <s v="Jonas"/>
    <x v="6"/>
    <x v="0"/>
    <n v="6"/>
    <n v="342"/>
    <x v="1"/>
    <x v="79"/>
  </r>
  <r>
    <n v="3082"/>
    <s v="2024-04-06"/>
    <s v="Amina"/>
    <x v="4"/>
    <x v="0"/>
    <n v="5"/>
    <n v="58"/>
    <x v="1"/>
    <x v="80"/>
  </r>
  <r>
    <n v="3083"/>
    <s v="2024-05-30"/>
    <s v="Mehdi"/>
    <x v="3"/>
    <x v="1"/>
    <n v="6"/>
    <n v="26"/>
    <x v="1"/>
    <x v="81"/>
  </r>
  <r>
    <n v="3084"/>
    <s v="2024-05-05"/>
    <s v="David"/>
    <x v="7"/>
    <x v="1"/>
    <n v="5"/>
    <n v="905"/>
    <x v="2"/>
    <x v="82"/>
  </r>
  <r>
    <n v="3085"/>
    <s v="2024-03-06"/>
    <s v="David"/>
    <x v="4"/>
    <x v="0"/>
    <n v="5"/>
    <n v="113"/>
    <x v="2"/>
    <x v="83"/>
  </r>
  <r>
    <n v="3086"/>
    <s v="2024-03-11"/>
    <s v="Jonas"/>
    <x v="8"/>
    <x v="1"/>
    <n v="6"/>
    <n v="115"/>
    <x v="2"/>
    <x v="84"/>
  </r>
  <r>
    <n v="3087"/>
    <s v="2024-06-16"/>
    <s v="Mehdi"/>
    <x v="1"/>
    <x v="1"/>
    <n v="4"/>
    <n v="498"/>
    <x v="2"/>
    <x v="85"/>
  </r>
  <r>
    <n v="3088"/>
    <s v="2024-05-05"/>
    <s v="Nora"/>
    <x v="8"/>
    <x v="1"/>
    <n v="5"/>
    <n v="112"/>
    <x v="0"/>
    <x v="86"/>
  </r>
  <r>
    <n v="3089"/>
    <s v="2024-05-11"/>
    <s v="David"/>
    <x v="6"/>
    <x v="0"/>
    <n v="1"/>
    <n v="264"/>
    <x v="1"/>
    <x v="87"/>
  </r>
  <r>
    <n v="3090"/>
    <s v="2024-03-02"/>
    <s v="Noah"/>
    <x v="7"/>
    <x v="1"/>
    <n v="3"/>
    <n v="905"/>
    <x v="0"/>
    <x v="88"/>
  </r>
  <r>
    <n v="3091"/>
    <s v="2024-03-25"/>
    <s v="Noah"/>
    <x v="8"/>
    <x v="1"/>
    <n v="4"/>
    <n v="77"/>
    <x v="0"/>
    <x v="89"/>
  </r>
  <r>
    <n v="3092"/>
    <s v="2024-02-16"/>
    <s v="Tom"/>
    <x v="0"/>
    <x v="0"/>
    <n v="3"/>
    <n v="324"/>
    <x v="0"/>
    <x v="90"/>
  </r>
  <r>
    <n v="3093"/>
    <s v="2024-01-02"/>
    <s v="Mehdi"/>
    <x v="6"/>
    <x v="0"/>
    <n v="5"/>
    <n v="289"/>
    <x v="0"/>
    <x v="91"/>
  </r>
  <r>
    <n v="3094"/>
    <s v="2024-05-28"/>
    <s v="David"/>
    <x v="0"/>
    <x v="0"/>
    <n v="4"/>
    <n v="316"/>
    <x v="0"/>
    <x v="92"/>
  </r>
  <r>
    <n v="3095"/>
    <s v="2024-05-02"/>
    <s v="Elif"/>
    <x v="1"/>
    <x v="1"/>
    <n v="2"/>
    <n v="482"/>
    <x v="1"/>
    <x v="93"/>
  </r>
  <r>
    <n v="3096"/>
    <s v="2024-05-05"/>
    <s v="Elif"/>
    <x v="1"/>
    <x v="1"/>
    <n v="1"/>
    <n v="409"/>
    <x v="0"/>
    <x v="7"/>
  </r>
  <r>
    <n v="3097"/>
    <s v="2024-02-15"/>
    <s v="Nora"/>
    <x v="6"/>
    <x v="0"/>
    <n v="2"/>
    <n v="282"/>
    <x v="2"/>
    <x v="94"/>
  </r>
  <r>
    <n v="3098"/>
    <s v="2024-04-09"/>
    <s v="Elif"/>
    <x v="8"/>
    <x v="1"/>
    <n v="3"/>
    <n v="42"/>
    <x v="2"/>
    <x v="95"/>
  </r>
  <r>
    <n v="3099"/>
    <s v="2024-03-09"/>
    <s v="Lina"/>
    <x v="0"/>
    <x v="0"/>
    <n v="5"/>
    <n v="367"/>
    <x v="2"/>
    <x v="96"/>
  </r>
  <r>
    <n v="3100"/>
    <s v="2024-01-03"/>
    <s v="Omar"/>
    <x v="0"/>
    <x v="0"/>
    <n v="1"/>
    <n v="321"/>
    <x v="1"/>
    <x v="97"/>
  </r>
  <r>
    <n v="3101"/>
    <s v="2024-01-01"/>
    <s v="Amina"/>
    <x v="1"/>
    <x v="1"/>
    <n v="2"/>
    <n v="451"/>
    <x v="1"/>
    <x v="98"/>
  </r>
  <r>
    <n v="3102"/>
    <s v="2024-05-03"/>
    <s v="Nora"/>
    <x v="6"/>
    <x v="0"/>
    <n v="5"/>
    <n v="320"/>
    <x v="2"/>
    <x v="99"/>
  </r>
  <r>
    <n v="3103"/>
    <s v="2024-05-06"/>
    <s v="Jonas"/>
    <x v="1"/>
    <x v="1"/>
    <n v="6"/>
    <n v="493"/>
    <x v="1"/>
    <x v="100"/>
  </r>
  <r>
    <n v="3104"/>
    <s v="2024-01-27"/>
    <s v="Omar"/>
    <x v="8"/>
    <x v="1"/>
    <n v="6"/>
    <n v="119"/>
    <x v="2"/>
    <x v="101"/>
  </r>
  <r>
    <n v="3105"/>
    <s v="2024-06-18"/>
    <s v="Omar"/>
    <x v="4"/>
    <x v="0"/>
    <n v="5"/>
    <n v="145"/>
    <x v="0"/>
    <x v="102"/>
  </r>
  <r>
    <n v="3106"/>
    <s v="2024-03-12"/>
    <s v="Maria"/>
    <x v="0"/>
    <x v="0"/>
    <n v="1"/>
    <n v="391"/>
    <x v="1"/>
    <x v="103"/>
  </r>
  <r>
    <n v="3107"/>
    <s v="2024-03-02"/>
    <s v="Maria"/>
    <x v="3"/>
    <x v="1"/>
    <n v="6"/>
    <n v="32"/>
    <x v="0"/>
    <x v="104"/>
  </r>
  <r>
    <n v="3108"/>
    <s v="2024-01-27"/>
    <s v="Mehdi"/>
    <x v="3"/>
    <x v="1"/>
    <n v="1"/>
    <n v="-24"/>
    <x v="1"/>
    <x v="105"/>
  </r>
  <r>
    <n v="3109"/>
    <s v="2024-04-25"/>
    <s v="Amina"/>
    <x v="6"/>
    <x v="0"/>
    <n v="5"/>
    <n v="259"/>
    <x v="2"/>
    <x v="106"/>
  </r>
  <r>
    <n v="3110"/>
    <s v="2024-04-21"/>
    <s v="Sara"/>
    <x v="2"/>
    <x v="1"/>
    <n v="5"/>
    <n v="11"/>
    <x v="1"/>
    <x v="107"/>
  </r>
  <r>
    <n v="3111"/>
    <s v="2024-01-03"/>
    <s v="Elif"/>
    <x v="4"/>
    <x v="0"/>
    <n v="6"/>
    <n v="137"/>
    <x v="0"/>
    <x v="108"/>
  </r>
  <r>
    <n v="3112"/>
    <s v="2024-01-27"/>
    <s v="Nora"/>
    <x v="4"/>
    <x v="0"/>
    <n v="2"/>
    <n v="119"/>
    <x v="0"/>
    <x v="109"/>
  </r>
  <r>
    <n v="3113"/>
    <s v="2024-06-10"/>
    <s v="Sara"/>
    <x v="5"/>
    <x v="1"/>
    <n v="4"/>
    <n v="211"/>
    <x v="0"/>
    <x v="110"/>
  </r>
  <r>
    <n v="3114"/>
    <s v="2024-02-15"/>
    <s v="Tom"/>
    <x v="6"/>
    <x v="0"/>
    <n v="6"/>
    <n v="347"/>
    <x v="2"/>
    <x v="111"/>
  </r>
  <r>
    <n v="3115"/>
    <s v="2024-02-18"/>
    <s v="Elif"/>
    <x v="2"/>
    <x v="1"/>
    <n v="5"/>
    <n v="33"/>
    <x v="2"/>
    <x v="112"/>
  </r>
  <r>
    <n v="3116"/>
    <s v="2024-01-14"/>
    <s v="Amina"/>
    <x v="2"/>
    <x v="1"/>
    <n v="1"/>
    <n v="52"/>
    <x v="0"/>
    <x v="113"/>
  </r>
  <r>
    <n v="3117"/>
    <s v="2024-05-18"/>
    <s v="Lina"/>
    <x v="7"/>
    <x v="1"/>
    <n v="2"/>
    <n v="873"/>
    <x v="0"/>
    <x v="114"/>
  </r>
  <r>
    <n v="3118"/>
    <s v="2024-01-24"/>
    <s v="Mehdi"/>
    <x v="0"/>
    <x v="0"/>
    <n v="5"/>
    <n v="338"/>
    <x v="0"/>
    <x v="115"/>
  </r>
  <r>
    <n v="3119"/>
    <s v="2024-03-04"/>
    <s v="Amina"/>
    <x v="8"/>
    <x v="1"/>
    <n v="2"/>
    <n v="44"/>
    <x v="0"/>
    <x v="3"/>
  </r>
  <r>
    <n v="3120"/>
    <s v="2024-05-05"/>
    <s v="Nora"/>
    <x v="5"/>
    <x v="1"/>
    <n v="6"/>
    <n v="211"/>
    <x v="0"/>
    <x v="116"/>
  </r>
  <r>
    <n v="3121"/>
    <s v="2024-01-23"/>
    <s v="Maria"/>
    <x v="3"/>
    <x v="1"/>
    <n v="6"/>
    <n v="68"/>
    <x v="2"/>
    <x v="117"/>
  </r>
  <r>
    <n v="3122"/>
    <s v="2024-01-13"/>
    <s v="Noah"/>
    <x v="8"/>
    <x v="1"/>
    <n v="1"/>
    <n v="122"/>
    <x v="1"/>
    <x v="118"/>
  </r>
  <r>
    <n v="3123"/>
    <s v="2024-05-20"/>
    <s v="Maria"/>
    <x v="7"/>
    <x v="1"/>
    <n v="1"/>
    <n v="879"/>
    <x v="2"/>
    <x v="119"/>
  </r>
  <r>
    <n v="3124"/>
    <s v="2024-06-01"/>
    <s v="Noah"/>
    <x v="4"/>
    <x v="0"/>
    <n v="2"/>
    <n v="51"/>
    <x v="0"/>
    <x v="120"/>
  </r>
  <r>
    <n v="3125"/>
    <s v="2024-03-07"/>
    <s v="Jonas"/>
    <x v="4"/>
    <x v="0"/>
    <n v="6"/>
    <n v="73"/>
    <x v="1"/>
    <x v="121"/>
  </r>
  <r>
    <n v="3126"/>
    <s v="2024-02-10"/>
    <s v="Mehdi"/>
    <x v="0"/>
    <x v="0"/>
    <n v="1"/>
    <n v="398"/>
    <x v="0"/>
    <x v="122"/>
  </r>
  <r>
    <n v="3127"/>
    <s v="2024-02-10"/>
    <s v="Noah"/>
    <x v="2"/>
    <x v="1"/>
    <n v="2"/>
    <n v="23"/>
    <x v="2"/>
    <x v="123"/>
  </r>
  <r>
    <n v="3128"/>
    <s v="2024-06-26"/>
    <s v="Nora"/>
    <x v="3"/>
    <x v="1"/>
    <n v="1"/>
    <n v="26"/>
    <x v="0"/>
    <x v="124"/>
  </r>
  <r>
    <n v="3129"/>
    <s v="2024-06-06"/>
    <s v="Lina"/>
    <x v="5"/>
    <x v="1"/>
    <n v="6"/>
    <n v="179"/>
    <x v="2"/>
    <x v="125"/>
  </r>
  <r>
    <n v="3130"/>
    <s v="2024-05-01"/>
    <s v="Tom"/>
    <x v="4"/>
    <x v="0"/>
    <n v="5"/>
    <n v="80"/>
    <x v="0"/>
    <x v="126"/>
  </r>
  <r>
    <n v="3131"/>
    <s v="2024-06-18"/>
    <s v="Mehdi"/>
    <x v="4"/>
    <x v="0"/>
    <n v="4"/>
    <n v="120"/>
    <x v="0"/>
    <x v="127"/>
  </r>
  <r>
    <n v="3132"/>
    <s v="2024-02-08"/>
    <s v="Noah"/>
    <x v="5"/>
    <x v="1"/>
    <n v="4"/>
    <n v="230"/>
    <x v="0"/>
    <x v="128"/>
  </r>
  <r>
    <n v="3133"/>
    <s v="2024-01-18"/>
    <s v="Tom"/>
    <x v="8"/>
    <x v="1"/>
    <n v="3"/>
    <n v="36"/>
    <x v="1"/>
    <x v="129"/>
  </r>
  <r>
    <n v="3134"/>
    <s v="2024-02-13"/>
    <s v="David"/>
    <x v="1"/>
    <x v="1"/>
    <n v="2"/>
    <n v="403"/>
    <x v="2"/>
    <x v="130"/>
  </r>
  <r>
    <n v="3135"/>
    <s v="2024-01-23"/>
    <s v="Mehdi"/>
    <x v="3"/>
    <x v="1"/>
    <n v="6"/>
    <n v="58"/>
    <x v="2"/>
    <x v="35"/>
  </r>
  <r>
    <n v="3136"/>
    <s v="2024-05-02"/>
    <s v="Sara"/>
    <x v="6"/>
    <x v="0"/>
    <n v="4"/>
    <n v="346"/>
    <x v="1"/>
    <x v="131"/>
  </r>
  <r>
    <n v="3137"/>
    <s v="2024-03-22"/>
    <s v="Tom"/>
    <x v="0"/>
    <x v="0"/>
    <n v="1"/>
    <n v="374"/>
    <x v="0"/>
    <x v="132"/>
  </r>
  <r>
    <n v="3138"/>
    <s v="2024-05-17"/>
    <s v="Maria"/>
    <x v="1"/>
    <x v="1"/>
    <n v="2"/>
    <n v="463"/>
    <x v="2"/>
    <x v="133"/>
  </r>
  <r>
    <n v="3139"/>
    <s v="2024-06-03"/>
    <s v="Mehdi"/>
    <x v="5"/>
    <x v="1"/>
    <n v="3"/>
    <n v="249"/>
    <x v="0"/>
    <x v="134"/>
  </r>
  <r>
    <n v="3140"/>
    <s v="2024-03-23"/>
    <s v="Maria"/>
    <x v="3"/>
    <x v="1"/>
    <n v="5"/>
    <n v="56"/>
    <x v="0"/>
    <x v="135"/>
  </r>
  <r>
    <n v="3141"/>
    <s v="2024-01-18"/>
    <s v="David"/>
    <x v="6"/>
    <x v="0"/>
    <n v="6"/>
    <n v="260"/>
    <x v="2"/>
    <x v="136"/>
  </r>
  <r>
    <n v="3142"/>
    <s v="2024-01-13"/>
    <s v="Omar"/>
    <x v="3"/>
    <x v="1"/>
    <n v="2"/>
    <n v="45"/>
    <x v="1"/>
    <x v="45"/>
  </r>
  <r>
    <n v="3143"/>
    <s v="2024-02-24"/>
    <s v="Elif"/>
    <x v="2"/>
    <x v="1"/>
    <n v="6"/>
    <n v="21"/>
    <x v="1"/>
    <x v="95"/>
  </r>
  <r>
    <n v="3144"/>
    <s v="2024-04-26"/>
    <s v="Nora"/>
    <x v="3"/>
    <x v="1"/>
    <n v="3"/>
    <n v="8"/>
    <x v="2"/>
    <x v="137"/>
  </r>
  <r>
    <n v="3145"/>
    <s v="2024-04-27"/>
    <s v="Mehdi"/>
    <x v="1"/>
    <x v="1"/>
    <n v="2"/>
    <n v="409"/>
    <x v="1"/>
    <x v="138"/>
  </r>
  <r>
    <n v="3146"/>
    <s v="2024-03-13"/>
    <s v="Nora"/>
    <x v="1"/>
    <x v="1"/>
    <n v="4"/>
    <n v="483"/>
    <x v="1"/>
    <x v="139"/>
  </r>
  <r>
    <n v="3147"/>
    <s v="2024-05-30"/>
    <s v="Maria"/>
    <x v="6"/>
    <x v="0"/>
    <n v="3"/>
    <n v="288"/>
    <x v="2"/>
    <x v="140"/>
  </r>
  <r>
    <n v="3148"/>
    <s v="2024-04-19"/>
    <s v="Tom"/>
    <x v="8"/>
    <x v="1"/>
    <n v="5"/>
    <n v="114"/>
    <x v="0"/>
    <x v="141"/>
  </r>
  <r>
    <n v="3149"/>
    <s v="2024-04-04"/>
    <s v="Noah"/>
    <x v="4"/>
    <x v="0"/>
    <n v="5"/>
    <n v="65"/>
    <x v="2"/>
    <x v="142"/>
  </r>
  <r>
    <n v="3150"/>
    <s v="2024-01-07"/>
    <s v="Elif"/>
    <x v="6"/>
    <x v="0"/>
    <n v="2"/>
    <n v="270"/>
    <x v="0"/>
    <x v="143"/>
  </r>
  <r>
    <n v="3151"/>
    <s v="2024-01-20"/>
    <s v="Amina"/>
    <x v="3"/>
    <x v="1"/>
    <n v="5"/>
    <n v="32"/>
    <x v="0"/>
    <x v="144"/>
  </r>
  <r>
    <n v="3152"/>
    <s v="2024-03-08"/>
    <s v="Noah"/>
    <x v="5"/>
    <x v="1"/>
    <n v="4"/>
    <n v="213"/>
    <x v="0"/>
    <x v="145"/>
  </r>
  <r>
    <n v="3153"/>
    <s v="2024-01-08"/>
    <s v="Lina"/>
    <x v="0"/>
    <x v="0"/>
    <n v="3"/>
    <n v="374"/>
    <x v="2"/>
    <x v="146"/>
  </r>
  <r>
    <n v="3154"/>
    <s v="2024-02-24"/>
    <s v="Nora"/>
    <x v="0"/>
    <x v="0"/>
    <n v="2"/>
    <n v="313"/>
    <x v="0"/>
    <x v="147"/>
  </r>
  <r>
    <n v="3155"/>
    <s v="2024-03-25"/>
    <s v="Tom"/>
    <x v="2"/>
    <x v="1"/>
    <n v="6"/>
    <n v="62"/>
    <x v="2"/>
    <x v="148"/>
  </r>
  <r>
    <n v="3156"/>
    <s v="2024-04-14"/>
    <s v="Tom"/>
    <x v="2"/>
    <x v="1"/>
    <n v="5"/>
    <n v="68"/>
    <x v="1"/>
    <x v="149"/>
  </r>
  <r>
    <n v="3157"/>
    <s v="2024-03-16"/>
    <s v="Noah"/>
    <x v="8"/>
    <x v="1"/>
    <n v="5"/>
    <n v="110"/>
    <x v="1"/>
    <x v="150"/>
  </r>
  <r>
    <n v="3158"/>
    <s v="2024-01-25"/>
    <s v="Amina"/>
    <x v="6"/>
    <x v="0"/>
    <n v="5"/>
    <n v="287"/>
    <x v="0"/>
    <x v="151"/>
  </r>
  <r>
    <n v="3159"/>
    <s v="2024-01-17"/>
    <s v="Mehdi"/>
    <x v="0"/>
    <x v="0"/>
    <n v="6"/>
    <n v="340"/>
    <x v="0"/>
    <x v="152"/>
  </r>
  <r>
    <n v="3160"/>
    <s v="2024-02-06"/>
    <s v="Mehdi"/>
    <x v="4"/>
    <x v="0"/>
    <n v="6"/>
    <n v="116"/>
    <x v="2"/>
    <x v="153"/>
  </r>
  <r>
    <n v="3161"/>
    <s v="2024-02-29"/>
    <s v="Tom"/>
    <x v="2"/>
    <x v="1"/>
    <n v="1"/>
    <n v="51"/>
    <x v="2"/>
    <x v="154"/>
  </r>
  <r>
    <n v="3162"/>
    <s v="2024-03-03"/>
    <s v="Sara"/>
    <x v="5"/>
    <x v="1"/>
    <n v="1"/>
    <n v="237"/>
    <x v="0"/>
    <x v="155"/>
  </r>
  <r>
    <n v="3163"/>
    <s v="2024-02-20"/>
    <s v="Maria"/>
    <x v="0"/>
    <x v="0"/>
    <n v="4"/>
    <n v="380"/>
    <x v="1"/>
    <x v="156"/>
  </r>
  <r>
    <n v="3164"/>
    <s v="2024-06-19"/>
    <s v="Sara"/>
    <x v="4"/>
    <x v="0"/>
    <n v="6"/>
    <n v="122"/>
    <x v="1"/>
    <x v="157"/>
  </r>
  <r>
    <n v="3165"/>
    <s v="2024-03-14"/>
    <s v="Omar"/>
    <x v="2"/>
    <x v="1"/>
    <n v="3"/>
    <n v="15"/>
    <x v="2"/>
    <x v="158"/>
  </r>
  <r>
    <n v="3166"/>
    <s v="2024-02-03"/>
    <s v="David"/>
    <x v="1"/>
    <x v="1"/>
    <n v="5"/>
    <n v="473"/>
    <x v="2"/>
    <x v="159"/>
  </r>
  <r>
    <n v="3167"/>
    <s v="2024-01-24"/>
    <s v="Mehdi"/>
    <x v="3"/>
    <x v="1"/>
    <n v="4"/>
    <n v="13"/>
    <x v="1"/>
    <x v="113"/>
  </r>
  <r>
    <n v="3168"/>
    <s v="2024-06-08"/>
    <s v="Tom"/>
    <x v="2"/>
    <x v="1"/>
    <n v="3"/>
    <n v="72"/>
    <x v="1"/>
    <x v="160"/>
  </r>
  <r>
    <n v="3169"/>
    <s v="2024-05-08"/>
    <s v="Lina"/>
    <x v="6"/>
    <x v="0"/>
    <n v="4"/>
    <n v="276"/>
    <x v="2"/>
    <x v="161"/>
  </r>
  <r>
    <n v="3170"/>
    <s v="2024-04-16"/>
    <s v="Maria"/>
    <x v="6"/>
    <x v="0"/>
    <n v="4"/>
    <n v="269"/>
    <x v="2"/>
    <x v="162"/>
  </r>
  <r>
    <n v="3171"/>
    <s v="2024-02-02"/>
    <s v="Sara"/>
    <x v="2"/>
    <x v="1"/>
    <n v="1"/>
    <n v="6"/>
    <x v="0"/>
    <x v="163"/>
  </r>
  <r>
    <n v="3172"/>
    <s v="2024-01-30"/>
    <s v="Tom"/>
    <x v="4"/>
    <x v="0"/>
    <n v="1"/>
    <n v="101"/>
    <x v="0"/>
    <x v="164"/>
  </r>
  <r>
    <n v="3173"/>
    <s v="2024-02-20"/>
    <s v="David"/>
    <x v="0"/>
    <x v="0"/>
    <n v="5"/>
    <n v="366"/>
    <x v="0"/>
    <x v="165"/>
  </r>
  <r>
    <n v="3174"/>
    <s v="2024-05-20"/>
    <s v="Tom"/>
    <x v="8"/>
    <x v="1"/>
    <n v="5"/>
    <n v="61"/>
    <x v="0"/>
    <x v="166"/>
  </r>
  <r>
    <n v="3175"/>
    <s v="2024-04-12"/>
    <s v="David"/>
    <x v="6"/>
    <x v="0"/>
    <n v="4"/>
    <n v="341"/>
    <x v="0"/>
    <x v="167"/>
  </r>
  <r>
    <n v="3176"/>
    <s v="2024-03-06"/>
    <s v="Nora"/>
    <x v="3"/>
    <x v="1"/>
    <n v="2"/>
    <n v="-17"/>
    <x v="1"/>
    <x v="168"/>
  </r>
  <r>
    <n v="3177"/>
    <s v="2024-06-14"/>
    <s v="Tom"/>
    <x v="5"/>
    <x v="1"/>
    <n v="6"/>
    <n v="230"/>
    <x v="0"/>
    <x v="169"/>
  </r>
  <r>
    <n v="3178"/>
    <s v="2024-05-06"/>
    <s v="Noah"/>
    <x v="3"/>
    <x v="1"/>
    <n v="3"/>
    <n v="34"/>
    <x v="1"/>
    <x v="120"/>
  </r>
  <r>
    <n v="3179"/>
    <s v="2024-02-23"/>
    <s v="Amina"/>
    <x v="1"/>
    <x v="1"/>
    <n v="4"/>
    <n v="423"/>
    <x v="2"/>
    <x v="170"/>
  </r>
  <r>
    <n v="3180"/>
    <s v="2024-04-16"/>
    <s v="Omar"/>
    <x v="5"/>
    <x v="1"/>
    <n v="4"/>
    <n v="232"/>
    <x v="0"/>
    <x v="171"/>
  </r>
  <r>
    <n v="3181"/>
    <s v="2024-01-31"/>
    <s v="Lina"/>
    <x v="4"/>
    <x v="0"/>
    <n v="4"/>
    <n v="66"/>
    <x v="2"/>
    <x v="87"/>
  </r>
  <r>
    <n v="3182"/>
    <s v="2024-04-21"/>
    <s v="Tom"/>
    <x v="8"/>
    <x v="1"/>
    <n v="6"/>
    <n v="92"/>
    <x v="0"/>
    <x v="172"/>
  </r>
  <r>
    <n v="3183"/>
    <s v="2024-01-22"/>
    <s v="Amina"/>
    <x v="2"/>
    <x v="1"/>
    <n v="5"/>
    <n v="36"/>
    <x v="1"/>
    <x v="173"/>
  </r>
  <r>
    <n v="3184"/>
    <s v="2024-05-03"/>
    <s v="Lina"/>
    <x v="0"/>
    <x v="0"/>
    <n v="3"/>
    <n v="325"/>
    <x v="0"/>
    <x v="174"/>
  </r>
  <r>
    <n v="3185"/>
    <s v="2024-01-23"/>
    <s v="Maria"/>
    <x v="3"/>
    <x v="1"/>
    <n v="6"/>
    <n v="37"/>
    <x v="2"/>
    <x v="175"/>
  </r>
  <r>
    <n v="3186"/>
    <s v="2024-04-23"/>
    <s v="Mehdi"/>
    <x v="0"/>
    <x v="0"/>
    <n v="3"/>
    <n v="309"/>
    <x v="1"/>
    <x v="176"/>
  </r>
  <r>
    <n v="3187"/>
    <s v="2024-03-14"/>
    <s v="Elif"/>
    <x v="7"/>
    <x v="1"/>
    <n v="1"/>
    <n v="860"/>
    <x v="1"/>
    <x v="177"/>
  </r>
  <r>
    <n v="3188"/>
    <s v="2024-01-17"/>
    <s v="Lina"/>
    <x v="3"/>
    <x v="1"/>
    <n v="4"/>
    <n v="26"/>
    <x v="0"/>
    <x v="178"/>
  </r>
  <r>
    <n v="3189"/>
    <s v="2024-03-03"/>
    <s v="Noah"/>
    <x v="3"/>
    <x v="1"/>
    <n v="1"/>
    <n v="38"/>
    <x v="0"/>
    <x v="179"/>
  </r>
  <r>
    <n v="3190"/>
    <s v="2024-05-12"/>
    <s v="Tom"/>
    <x v="2"/>
    <x v="1"/>
    <n v="3"/>
    <n v="30"/>
    <x v="1"/>
    <x v="45"/>
  </r>
  <r>
    <n v="3191"/>
    <s v="2024-01-23"/>
    <s v="Maria"/>
    <x v="7"/>
    <x v="1"/>
    <n v="4"/>
    <n v="900"/>
    <x v="1"/>
    <x v="180"/>
  </r>
  <r>
    <n v="3192"/>
    <s v="2024-01-05"/>
    <s v="Elif"/>
    <x v="5"/>
    <x v="1"/>
    <n v="4"/>
    <n v="216"/>
    <x v="1"/>
    <x v="140"/>
  </r>
  <r>
    <n v="3193"/>
    <s v="2024-02-07"/>
    <s v="Nora"/>
    <x v="1"/>
    <x v="1"/>
    <n v="4"/>
    <n v="463"/>
    <x v="0"/>
    <x v="181"/>
  </r>
  <r>
    <n v="3194"/>
    <s v="2024-03-16"/>
    <s v="David"/>
    <x v="6"/>
    <x v="0"/>
    <n v="1"/>
    <n v="275"/>
    <x v="1"/>
    <x v="182"/>
  </r>
  <r>
    <n v="3195"/>
    <s v="2024-05-17"/>
    <s v="Omar"/>
    <x v="0"/>
    <x v="0"/>
    <n v="6"/>
    <n v="360"/>
    <x v="1"/>
    <x v="183"/>
  </r>
  <r>
    <n v="3196"/>
    <s v="2024-01-02"/>
    <s v="David"/>
    <x v="6"/>
    <x v="0"/>
    <n v="6"/>
    <n v="307"/>
    <x v="2"/>
    <x v="184"/>
  </r>
  <r>
    <n v="3197"/>
    <s v="2024-01-22"/>
    <s v="Lina"/>
    <x v="6"/>
    <x v="0"/>
    <n v="2"/>
    <n v="302"/>
    <x v="2"/>
    <x v="185"/>
  </r>
  <r>
    <n v="3198"/>
    <s v="2024-03-24"/>
    <s v="Lina"/>
    <x v="6"/>
    <x v="0"/>
    <n v="5"/>
    <n v="342"/>
    <x v="1"/>
    <x v="186"/>
  </r>
  <r>
    <n v="3199"/>
    <s v="2024-02-22"/>
    <s v="Tom"/>
    <x v="6"/>
    <x v="0"/>
    <n v="4"/>
    <n v="317"/>
    <x v="1"/>
    <x v="187"/>
  </r>
  <r>
    <n v="3200"/>
    <s v="2024-01-11"/>
    <s v="David"/>
    <x v="7"/>
    <x v="1"/>
    <n v="2"/>
    <n v="944"/>
    <x v="1"/>
    <x v="188"/>
  </r>
  <r>
    <n v="3201"/>
    <s v="2024-04-13"/>
    <s v="Tom"/>
    <x v="5"/>
    <x v="1"/>
    <n v="1"/>
    <n v="175"/>
    <x v="2"/>
    <x v="189"/>
  </r>
  <r>
    <n v="3202"/>
    <s v="2024-02-15"/>
    <s v="Mehdi"/>
    <x v="7"/>
    <x v="1"/>
    <n v="6"/>
    <n v="913"/>
    <x v="0"/>
    <x v="190"/>
  </r>
  <r>
    <n v="3203"/>
    <s v="2024-01-22"/>
    <s v="Maria"/>
    <x v="7"/>
    <x v="1"/>
    <n v="1"/>
    <n v="868"/>
    <x v="0"/>
    <x v="191"/>
  </r>
  <r>
    <n v="3204"/>
    <s v="2024-02-08"/>
    <s v="Omar"/>
    <x v="2"/>
    <x v="1"/>
    <n v="6"/>
    <n v="31"/>
    <x v="1"/>
    <x v="30"/>
  </r>
  <r>
    <n v="3205"/>
    <s v="2024-05-10"/>
    <s v="Lina"/>
    <x v="4"/>
    <x v="0"/>
    <n v="4"/>
    <n v="55"/>
    <x v="2"/>
    <x v="192"/>
  </r>
  <r>
    <n v="3206"/>
    <s v="2024-04-19"/>
    <s v="Maria"/>
    <x v="2"/>
    <x v="1"/>
    <n v="4"/>
    <n v="35"/>
    <x v="1"/>
    <x v="193"/>
  </r>
  <r>
    <n v="3207"/>
    <s v="2024-03-30"/>
    <s v="Lina"/>
    <x v="8"/>
    <x v="1"/>
    <n v="2"/>
    <n v="114"/>
    <x v="0"/>
    <x v="194"/>
  </r>
  <r>
    <n v="3208"/>
    <s v="2024-02-14"/>
    <s v="David"/>
    <x v="6"/>
    <x v="0"/>
    <n v="3"/>
    <n v="340"/>
    <x v="0"/>
    <x v="195"/>
  </r>
  <r>
    <n v="3209"/>
    <s v="2024-05-04"/>
    <s v="Maria"/>
    <x v="5"/>
    <x v="1"/>
    <n v="4"/>
    <n v="242"/>
    <x v="1"/>
    <x v="196"/>
  </r>
  <r>
    <n v="3210"/>
    <s v="2024-05-17"/>
    <s v="Elif"/>
    <x v="3"/>
    <x v="1"/>
    <n v="5"/>
    <n v="39"/>
    <x v="1"/>
    <x v="197"/>
  </r>
  <r>
    <n v="3211"/>
    <s v="2024-04-23"/>
    <s v="Jonas"/>
    <x v="2"/>
    <x v="1"/>
    <n v="5"/>
    <n v="55"/>
    <x v="1"/>
    <x v="182"/>
  </r>
  <r>
    <n v="3212"/>
    <s v="2024-06-10"/>
    <s v="Noah"/>
    <x v="2"/>
    <x v="1"/>
    <n v="5"/>
    <n v="6"/>
    <x v="2"/>
    <x v="198"/>
  </r>
  <r>
    <n v="3213"/>
    <s v="2024-05-08"/>
    <s v="Elif"/>
    <x v="1"/>
    <x v="1"/>
    <n v="3"/>
    <n v="459"/>
    <x v="1"/>
    <x v="199"/>
  </r>
  <r>
    <n v="3214"/>
    <s v="2024-03-28"/>
    <s v="David"/>
    <x v="5"/>
    <x v="1"/>
    <n v="3"/>
    <n v="180"/>
    <x v="2"/>
    <x v="143"/>
  </r>
  <r>
    <n v="3215"/>
    <s v="2024-03-28"/>
    <s v="Amina"/>
    <x v="3"/>
    <x v="1"/>
    <n v="3"/>
    <n v="46"/>
    <x v="2"/>
    <x v="200"/>
  </r>
  <r>
    <n v="3216"/>
    <s v="2024-02-01"/>
    <s v="Sara"/>
    <x v="2"/>
    <x v="1"/>
    <n v="4"/>
    <n v="-6"/>
    <x v="2"/>
    <x v="105"/>
  </r>
  <r>
    <n v="3217"/>
    <s v="2024-06-09"/>
    <s v="Sara"/>
    <x v="6"/>
    <x v="0"/>
    <n v="6"/>
    <n v="265"/>
    <x v="1"/>
    <x v="201"/>
  </r>
  <r>
    <n v="3218"/>
    <s v="2024-05-27"/>
    <s v="Nora"/>
    <x v="1"/>
    <x v="1"/>
    <n v="6"/>
    <n v="426"/>
    <x v="2"/>
    <x v="202"/>
  </r>
  <r>
    <n v="3219"/>
    <s v="2024-01-29"/>
    <s v="Elif"/>
    <x v="6"/>
    <x v="0"/>
    <n v="4"/>
    <n v="280"/>
    <x v="2"/>
    <x v="203"/>
  </r>
  <r>
    <n v="3220"/>
    <s v="2024-02-03"/>
    <s v="Amina"/>
    <x v="2"/>
    <x v="1"/>
    <n v="3"/>
    <n v="15"/>
    <x v="0"/>
    <x v="158"/>
  </r>
  <r>
    <n v="3221"/>
    <s v="2024-05-08"/>
    <s v="David"/>
    <x v="1"/>
    <x v="1"/>
    <n v="3"/>
    <n v="468"/>
    <x v="1"/>
    <x v="204"/>
  </r>
  <r>
    <n v="3222"/>
    <s v="2024-01-23"/>
    <s v="Jonas"/>
    <x v="6"/>
    <x v="0"/>
    <n v="3"/>
    <n v="262"/>
    <x v="1"/>
    <x v="205"/>
  </r>
  <r>
    <n v="3223"/>
    <s v="2024-01-15"/>
    <s v="Mehdi"/>
    <x v="1"/>
    <x v="1"/>
    <n v="2"/>
    <n v="436"/>
    <x v="2"/>
    <x v="206"/>
  </r>
  <r>
    <n v="3224"/>
    <s v="2024-02-20"/>
    <s v="Nora"/>
    <x v="7"/>
    <x v="1"/>
    <n v="4"/>
    <n v="874"/>
    <x v="2"/>
    <x v="207"/>
  </r>
  <r>
    <n v="3225"/>
    <s v="2024-06-05"/>
    <s v="Mehdi"/>
    <x v="6"/>
    <x v="0"/>
    <n v="5"/>
    <n v="312"/>
    <x v="2"/>
    <x v="136"/>
  </r>
  <r>
    <n v="3226"/>
    <s v="2024-06-10"/>
    <s v="Jonas"/>
    <x v="0"/>
    <x v="0"/>
    <n v="1"/>
    <n v="368"/>
    <x v="1"/>
    <x v="208"/>
  </r>
  <r>
    <n v="3227"/>
    <s v="2024-03-16"/>
    <s v="Jonas"/>
    <x v="3"/>
    <x v="1"/>
    <n v="4"/>
    <n v="-1"/>
    <x v="0"/>
    <x v="209"/>
  </r>
  <r>
    <n v="3228"/>
    <s v="2024-02-03"/>
    <s v="David"/>
    <x v="6"/>
    <x v="0"/>
    <n v="2"/>
    <n v="340"/>
    <x v="2"/>
    <x v="210"/>
  </r>
  <r>
    <n v="3229"/>
    <s v="2024-04-15"/>
    <s v="Mehdi"/>
    <x v="0"/>
    <x v="0"/>
    <n v="4"/>
    <n v="314"/>
    <x v="0"/>
    <x v="211"/>
  </r>
  <r>
    <n v="3230"/>
    <s v="2024-03-29"/>
    <s v="Mehdi"/>
    <x v="2"/>
    <x v="1"/>
    <n v="4"/>
    <n v="-15"/>
    <x v="0"/>
    <x v="212"/>
  </r>
  <r>
    <n v="3231"/>
    <s v="2024-04-17"/>
    <s v="Sara"/>
    <x v="5"/>
    <x v="1"/>
    <n v="3"/>
    <n v="193"/>
    <x v="0"/>
    <x v="213"/>
  </r>
  <r>
    <n v="3232"/>
    <s v="2024-01-09"/>
    <s v="Elif"/>
    <x v="8"/>
    <x v="1"/>
    <n v="6"/>
    <n v="84"/>
    <x v="0"/>
    <x v="214"/>
  </r>
  <r>
    <n v="3233"/>
    <s v="2024-02-27"/>
    <s v="Mehdi"/>
    <x v="5"/>
    <x v="1"/>
    <n v="4"/>
    <n v="232"/>
    <x v="0"/>
    <x v="171"/>
  </r>
  <r>
    <n v="3234"/>
    <s v="2024-02-14"/>
    <s v="Nora"/>
    <x v="7"/>
    <x v="1"/>
    <n v="4"/>
    <n v="946"/>
    <x v="0"/>
    <x v="215"/>
  </r>
  <r>
    <n v="3235"/>
    <s v="2024-01-27"/>
    <s v="David"/>
    <x v="8"/>
    <x v="1"/>
    <n v="5"/>
    <n v="63"/>
    <x v="0"/>
    <x v="216"/>
  </r>
  <r>
    <n v="3236"/>
    <s v="2024-03-17"/>
    <s v="Tom"/>
    <x v="3"/>
    <x v="1"/>
    <n v="3"/>
    <n v="43"/>
    <x v="2"/>
    <x v="217"/>
  </r>
  <r>
    <n v="3237"/>
    <s v="2024-04-16"/>
    <s v="Maria"/>
    <x v="0"/>
    <x v="0"/>
    <n v="4"/>
    <n v="329"/>
    <x v="2"/>
    <x v="218"/>
  </r>
  <r>
    <n v="3238"/>
    <s v="2024-03-24"/>
    <s v="Nora"/>
    <x v="3"/>
    <x v="1"/>
    <n v="6"/>
    <n v="-17"/>
    <x v="2"/>
    <x v="219"/>
  </r>
  <r>
    <n v="3239"/>
    <s v="2024-02-07"/>
    <s v="Jonas"/>
    <x v="3"/>
    <x v="1"/>
    <n v="1"/>
    <n v="28"/>
    <x v="0"/>
    <x v="220"/>
  </r>
  <r>
    <n v="3240"/>
    <s v="2024-03-18"/>
    <s v="Omar"/>
    <x v="5"/>
    <x v="1"/>
    <n v="2"/>
    <n v="221"/>
    <x v="0"/>
    <x v="221"/>
  </r>
  <r>
    <n v="3241"/>
    <s v="2024-01-30"/>
    <s v="Noah"/>
    <x v="7"/>
    <x v="1"/>
    <n v="2"/>
    <n v="900"/>
    <x v="1"/>
    <x v="222"/>
  </r>
  <r>
    <n v="3242"/>
    <s v="2024-05-10"/>
    <s v="Omar"/>
    <x v="6"/>
    <x v="0"/>
    <n v="1"/>
    <n v="263"/>
    <x v="1"/>
    <x v="223"/>
  </r>
  <r>
    <n v="3243"/>
    <s v="2024-04-07"/>
    <s v="Mehdi"/>
    <x v="1"/>
    <x v="1"/>
    <n v="5"/>
    <n v="490"/>
    <x v="0"/>
    <x v="224"/>
  </r>
  <r>
    <n v="3244"/>
    <s v="2024-04-14"/>
    <s v="Maria"/>
    <x v="7"/>
    <x v="1"/>
    <n v="5"/>
    <n v="924"/>
    <x v="1"/>
    <x v="225"/>
  </r>
  <r>
    <n v="3245"/>
    <s v="2024-01-09"/>
    <s v="Amina"/>
    <x v="1"/>
    <x v="1"/>
    <n v="4"/>
    <n v="459"/>
    <x v="0"/>
    <x v="226"/>
  </r>
  <r>
    <n v="3246"/>
    <s v="2024-01-02"/>
    <s v="Noah"/>
    <x v="0"/>
    <x v="0"/>
    <n v="4"/>
    <n v="316"/>
    <x v="1"/>
    <x v="92"/>
  </r>
  <r>
    <n v="3247"/>
    <s v="2024-04-15"/>
    <s v="Nora"/>
    <x v="4"/>
    <x v="0"/>
    <n v="4"/>
    <n v="141"/>
    <x v="1"/>
    <x v="94"/>
  </r>
  <r>
    <n v="3248"/>
    <s v="2024-04-18"/>
    <s v="Tom"/>
    <x v="2"/>
    <x v="1"/>
    <n v="6"/>
    <n v="-5"/>
    <x v="2"/>
    <x v="227"/>
  </r>
  <r>
    <n v="3249"/>
    <s v="2024-05-19"/>
    <s v="Omar"/>
    <x v="7"/>
    <x v="1"/>
    <n v="4"/>
    <n v="933"/>
    <x v="2"/>
    <x v="228"/>
  </r>
  <r>
    <n v="3250"/>
    <s v="2024-05-12"/>
    <s v="David"/>
    <x v="0"/>
    <x v="0"/>
    <n v="1"/>
    <n v="332"/>
    <x v="0"/>
    <x v="66"/>
  </r>
  <r>
    <n v="3251"/>
    <s v="2024-05-29"/>
    <s v="Lina"/>
    <x v="1"/>
    <x v="1"/>
    <n v="5"/>
    <n v="466"/>
    <x v="0"/>
    <x v="229"/>
  </r>
  <r>
    <n v="3252"/>
    <s v="2024-04-10"/>
    <s v="Elif"/>
    <x v="4"/>
    <x v="0"/>
    <n v="5"/>
    <n v="148"/>
    <x v="0"/>
    <x v="230"/>
  </r>
  <r>
    <n v="3253"/>
    <s v="2024-03-03"/>
    <s v="Omar"/>
    <x v="3"/>
    <x v="1"/>
    <n v="5"/>
    <n v="-3"/>
    <x v="1"/>
    <x v="231"/>
  </r>
  <r>
    <n v="3254"/>
    <s v="2024-03-04"/>
    <s v="Amina"/>
    <x v="1"/>
    <x v="1"/>
    <n v="6"/>
    <n v="410"/>
    <x v="0"/>
    <x v="232"/>
  </r>
  <r>
    <n v="3255"/>
    <s v="2024-04-01"/>
    <s v="Mehdi"/>
    <x v="7"/>
    <x v="1"/>
    <n v="5"/>
    <n v="881"/>
    <x v="1"/>
    <x v="233"/>
  </r>
  <r>
    <n v="3256"/>
    <s v="2024-02-25"/>
    <s v="Lina"/>
    <x v="6"/>
    <x v="0"/>
    <n v="2"/>
    <n v="253"/>
    <x v="0"/>
    <x v="234"/>
  </r>
  <r>
    <n v="3257"/>
    <s v="2024-04-29"/>
    <s v="Sara"/>
    <x v="0"/>
    <x v="0"/>
    <n v="2"/>
    <n v="356"/>
    <x v="2"/>
    <x v="235"/>
  </r>
  <r>
    <n v="3258"/>
    <s v="2024-03-20"/>
    <s v="Lina"/>
    <x v="3"/>
    <x v="1"/>
    <n v="5"/>
    <n v="40"/>
    <x v="0"/>
    <x v="236"/>
  </r>
  <r>
    <n v="3259"/>
    <s v="2024-06-13"/>
    <s v="David"/>
    <x v="5"/>
    <x v="1"/>
    <n v="5"/>
    <n v="153"/>
    <x v="1"/>
    <x v="237"/>
  </r>
  <r>
    <n v="3260"/>
    <s v="2024-01-29"/>
    <s v="Elif"/>
    <x v="2"/>
    <x v="1"/>
    <n v="5"/>
    <n v="6"/>
    <x v="1"/>
    <x v="198"/>
  </r>
  <r>
    <n v="3261"/>
    <s v="2024-02-23"/>
    <s v="Omar"/>
    <x v="2"/>
    <x v="1"/>
    <n v="2"/>
    <n v="-11"/>
    <x v="2"/>
    <x v="238"/>
  </r>
  <r>
    <n v="3262"/>
    <s v="2024-04-28"/>
    <s v="David"/>
    <x v="5"/>
    <x v="1"/>
    <n v="2"/>
    <n v="192"/>
    <x v="0"/>
    <x v="239"/>
  </r>
  <r>
    <n v="3263"/>
    <s v="2024-03-15"/>
    <s v="Elif"/>
    <x v="2"/>
    <x v="1"/>
    <n v="6"/>
    <n v="-13"/>
    <x v="1"/>
    <x v="240"/>
  </r>
  <r>
    <n v="3264"/>
    <s v="2024-05-04"/>
    <s v="Maria"/>
    <x v="6"/>
    <x v="0"/>
    <n v="4"/>
    <n v="252"/>
    <x v="2"/>
    <x v="241"/>
  </r>
  <r>
    <n v="3265"/>
    <s v="2024-05-05"/>
    <s v="Amina"/>
    <x v="1"/>
    <x v="1"/>
    <n v="5"/>
    <n v="432"/>
    <x v="0"/>
    <x v="183"/>
  </r>
  <r>
    <n v="3266"/>
    <s v="2024-04-08"/>
    <s v="Elif"/>
    <x v="7"/>
    <x v="1"/>
    <n v="6"/>
    <n v="882"/>
    <x v="0"/>
    <x v="242"/>
  </r>
  <r>
    <n v="3267"/>
    <s v="2024-05-08"/>
    <s v="Maria"/>
    <x v="1"/>
    <x v="1"/>
    <n v="6"/>
    <n v="485"/>
    <x v="1"/>
    <x v="243"/>
  </r>
  <r>
    <n v="3268"/>
    <s v="2024-01-31"/>
    <s v="Omar"/>
    <x v="5"/>
    <x v="1"/>
    <n v="5"/>
    <n v="241"/>
    <x v="1"/>
    <x v="244"/>
  </r>
  <r>
    <n v="3269"/>
    <s v="2024-04-13"/>
    <s v="Elif"/>
    <x v="7"/>
    <x v="1"/>
    <n v="5"/>
    <n v="940"/>
    <x v="1"/>
    <x v="245"/>
  </r>
  <r>
    <n v="3270"/>
    <s v="2024-02-29"/>
    <s v="Maria"/>
    <x v="3"/>
    <x v="1"/>
    <n v="2"/>
    <n v="62"/>
    <x v="1"/>
    <x v="246"/>
  </r>
  <r>
    <n v="3271"/>
    <s v="2024-02-14"/>
    <s v="Elif"/>
    <x v="2"/>
    <x v="1"/>
    <n v="6"/>
    <n v="12"/>
    <x v="2"/>
    <x v="23"/>
  </r>
  <r>
    <n v="3272"/>
    <s v="2024-04-02"/>
    <s v="Jonas"/>
    <x v="7"/>
    <x v="1"/>
    <n v="2"/>
    <n v="929"/>
    <x v="1"/>
    <x v="247"/>
  </r>
  <r>
    <n v="3273"/>
    <s v="2024-05-25"/>
    <s v="Elif"/>
    <x v="3"/>
    <x v="1"/>
    <n v="6"/>
    <n v="-17"/>
    <x v="1"/>
    <x v="219"/>
  </r>
  <r>
    <n v="3274"/>
    <s v="2024-05-25"/>
    <s v="Lina"/>
    <x v="3"/>
    <x v="1"/>
    <n v="2"/>
    <n v="-23"/>
    <x v="0"/>
    <x v="248"/>
  </r>
  <r>
    <n v="3275"/>
    <s v="2024-05-07"/>
    <s v="Jonas"/>
    <x v="5"/>
    <x v="1"/>
    <n v="1"/>
    <n v="197"/>
    <x v="2"/>
    <x v="249"/>
  </r>
  <r>
    <n v="3276"/>
    <s v="2024-06-16"/>
    <s v="Elif"/>
    <x v="7"/>
    <x v="1"/>
    <n v="4"/>
    <n v="910"/>
    <x v="2"/>
    <x v="250"/>
  </r>
  <r>
    <n v="3277"/>
    <s v="2024-06-07"/>
    <s v="Omar"/>
    <x v="5"/>
    <x v="1"/>
    <n v="6"/>
    <n v="182"/>
    <x v="2"/>
    <x v="251"/>
  </r>
  <r>
    <n v="3278"/>
    <s v="2024-06-11"/>
    <s v="Mehdi"/>
    <x v="6"/>
    <x v="0"/>
    <n v="1"/>
    <n v="305"/>
    <x v="0"/>
    <x v="166"/>
  </r>
  <r>
    <n v="3279"/>
    <s v="2024-05-06"/>
    <s v="Noah"/>
    <x v="6"/>
    <x v="0"/>
    <n v="4"/>
    <n v="303"/>
    <x v="1"/>
    <x v="252"/>
  </r>
  <r>
    <n v="3280"/>
    <s v="2024-01-28"/>
    <s v="Amina"/>
    <x v="5"/>
    <x v="1"/>
    <n v="5"/>
    <n v="248"/>
    <x v="0"/>
    <x v="53"/>
  </r>
  <r>
    <n v="3281"/>
    <s v="2024-03-22"/>
    <s v="Noah"/>
    <x v="8"/>
    <x v="1"/>
    <n v="6"/>
    <n v="120"/>
    <x v="2"/>
    <x v="253"/>
  </r>
  <r>
    <n v="3282"/>
    <s v="2024-02-19"/>
    <s v="Omar"/>
    <x v="1"/>
    <x v="1"/>
    <n v="6"/>
    <n v="418"/>
    <x v="1"/>
    <x v="254"/>
  </r>
  <r>
    <n v="3283"/>
    <s v="2024-05-17"/>
    <s v="Mehdi"/>
    <x v="6"/>
    <x v="0"/>
    <n v="3"/>
    <n v="338"/>
    <x v="0"/>
    <x v="255"/>
  </r>
  <r>
    <n v="3284"/>
    <s v="2024-05-22"/>
    <s v="Noah"/>
    <x v="5"/>
    <x v="1"/>
    <n v="4"/>
    <n v="203"/>
    <x v="1"/>
    <x v="256"/>
  </r>
  <r>
    <n v="3285"/>
    <s v="2024-03-10"/>
    <s v="Jonas"/>
    <x v="8"/>
    <x v="1"/>
    <n v="3"/>
    <n v="102"/>
    <x v="0"/>
    <x v="257"/>
  </r>
  <r>
    <n v="3286"/>
    <s v="2024-02-06"/>
    <s v="Maria"/>
    <x v="7"/>
    <x v="1"/>
    <n v="4"/>
    <n v="869"/>
    <x v="1"/>
    <x v="258"/>
  </r>
  <r>
    <n v="3287"/>
    <s v="2024-06-08"/>
    <s v="Maria"/>
    <x v="5"/>
    <x v="1"/>
    <n v="6"/>
    <n v="199"/>
    <x v="0"/>
    <x v="259"/>
  </r>
  <r>
    <n v="3288"/>
    <s v="2024-04-26"/>
    <s v="Maria"/>
    <x v="3"/>
    <x v="1"/>
    <n v="3"/>
    <n v="37"/>
    <x v="0"/>
    <x v="260"/>
  </r>
  <r>
    <n v="3289"/>
    <s v="2024-05-08"/>
    <s v="Nora"/>
    <x v="5"/>
    <x v="1"/>
    <n v="2"/>
    <n v="162"/>
    <x v="2"/>
    <x v="42"/>
  </r>
  <r>
    <n v="3290"/>
    <s v="2024-01-22"/>
    <s v="Tom"/>
    <x v="4"/>
    <x v="0"/>
    <n v="6"/>
    <n v="125"/>
    <x v="2"/>
    <x v="261"/>
  </r>
  <r>
    <n v="3291"/>
    <s v="2024-04-30"/>
    <s v="David"/>
    <x v="6"/>
    <x v="0"/>
    <n v="4"/>
    <n v="322"/>
    <x v="0"/>
    <x v="262"/>
  </r>
  <r>
    <n v="3292"/>
    <s v="2024-02-14"/>
    <s v="Tom"/>
    <x v="4"/>
    <x v="0"/>
    <n v="4"/>
    <n v="59"/>
    <x v="2"/>
    <x v="263"/>
  </r>
  <r>
    <n v="3293"/>
    <s v="2024-04-15"/>
    <s v="Elif"/>
    <x v="0"/>
    <x v="0"/>
    <n v="3"/>
    <n v="381"/>
    <x v="2"/>
    <x v="264"/>
  </r>
  <r>
    <n v="3294"/>
    <s v="2024-06-12"/>
    <s v="Mehdi"/>
    <x v="8"/>
    <x v="1"/>
    <n v="4"/>
    <n v="33"/>
    <x v="1"/>
    <x v="265"/>
  </r>
  <r>
    <n v="3295"/>
    <s v="2024-05-08"/>
    <s v="Maria"/>
    <x v="7"/>
    <x v="1"/>
    <n v="1"/>
    <n v="880"/>
    <x v="0"/>
    <x v="266"/>
  </r>
  <r>
    <n v="3296"/>
    <s v="2024-01-29"/>
    <s v="Maria"/>
    <x v="6"/>
    <x v="0"/>
    <n v="6"/>
    <n v="302"/>
    <x v="1"/>
    <x v="267"/>
  </r>
  <r>
    <n v="3297"/>
    <s v="2024-03-16"/>
    <s v="Tom"/>
    <x v="8"/>
    <x v="1"/>
    <n v="4"/>
    <n v="63"/>
    <x v="1"/>
    <x v="268"/>
  </r>
  <r>
    <n v="3298"/>
    <s v="2024-04-04"/>
    <s v="Lina"/>
    <x v="6"/>
    <x v="0"/>
    <n v="5"/>
    <n v="319"/>
    <x v="1"/>
    <x v="269"/>
  </r>
  <r>
    <n v="3299"/>
    <s v="2024-02-02"/>
    <s v="Lina"/>
    <x v="1"/>
    <x v="1"/>
    <n v="5"/>
    <n v="435"/>
    <x v="1"/>
    <x v="270"/>
  </r>
  <r>
    <n v="3300"/>
    <s v="2024-06-13"/>
    <s v="Noah"/>
    <x v="0"/>
    <x v="0"/>
    <n v="6"/>
    <n v="387"/>
    <x v="2"/>
    <x v="271"/>
  </r>
  <r>
    <n v="3301"/>
    <s v="2024-05-14"/>
    <s v="Amina"/>
    <x v="3"/>
    <x v="1"/>
    <n v="5"/>
    <n v="38"/>
    <x v="2"/>
    <x v="272"/>
  </r>
  <r>
    <n v="3302"/>
    <s v="2024-04-04"/>
    <s v="Jonas"/>
    <x v="1"/>
    <x v="1"/>
    <n v="6"/>
    <n v="478"/>
    <x v="1"/>
    <x v="273"/>
  </r>
  <r>
    <n v="3303"/>
    <s v="2024-05-09"/>
    <s v="Sara"/>
    <x v="0"/>
    <x v="0"/>
    <n v="6"/>
    <n v="308"/>
    <x v="0"/>
    <x v="274"/>
  </r>
  <r>
    <n v="3304"/>
    <s v="2024-02-11"/>
    <s v="Mehdi"/>
    <x v="1"/>
    <x v="1"/>
    <n v="2"/>
    <n v="497"/>
    <x v="1"/>
    <x v="275"/>
  </r>
  <r>
    <n v="3305"/>
    <s v="2024-04-13"/>
    <s v="Elif"/>
    <x v="3"/>
    <x v="1"/>
    <n v="4"/>
    <n v="-19"/>
    <x v="1"/>
    <x v="276"/>
  </r>
  <r>
    <n v="3306"/>
    <s v="2024-01-28"/>
    <s v="Maria"/>
    <x v="3"/>
    <x v="1"/>
    <n v="2"/>
    <n v="-5"/>
    <x v="0"/>
    <x v="277"/>
  </r>
  <r>
    <n v="3307"/>
    <s v="2024-04-04"/>
    <s v="David"/>
    <x v="3"/>
    <x v="1"/>
    <n v="2"/>
    <n v="-7"/>
    <x v="0"/>
    <x v="278"/>
  </r>
  <r>
    <n v="3308"/>
    <s v="2024-04-25"/>
    <s v="Jonas"/>
    <x v="6"/>
    <x v="0"/>
    <n v="1"/>
    <n v="337"/>
    <x v="0"/>
    <x v="279"/>
  </r>
  <r>
    <n v="3309"/>
    <s v="2024-04-18"/>
    <s v="Amina"/>
    <x v="7"/>
    <x v="1"/>
    <n v="3"/>
    <n v="918"/>
    <x v="0"/>
    <x v="280"/>
  </r>
  <r>
    <n v="3310"/>
    <s v="2024-05-09"/>
    <s v="David"/>
    <x v="7"/>
    <x v="1"/>
    <n v="6"/>
    <n v="945"/>
    <x v="0"/>
    <x v="281"/>
  </r>
  <r>
    <n v="3311"/>
    <s v="2024-03-04"/>
    <s v="Nora"/>
    <x v="2"/>
    <x v="1"/>
    <n v="3"/>
    <n v="-11"/>
    <x v="2"/>
    <x v="282"/>
  </r>
  <r>
    <n v="3312"/>
    <s v="2024-05-22"/>
    <s v="Omar"/>
    <x v="1"/>
    <x v="1"/>
    <n v="3"/>
    <n v="463"/>
    <x v="2"/>
    <x v="283"/>
  </r>
  <r>
    <n v="3313"/>
    <s v="2024-03-13"/>
    <s v="Jonas"/>
    <x v="5"/>
    <x v="1"/>
    <n v="3"/>
    <n v="162"/>
    <x v="1"/>
    <x v="284"/>
  </r>
  <r>
    <n v="3314"/>
    <s v="2024-06-15"/>
    <s v="Jonas"/>
    <x v="8"/>
    <x v="1"/>
    <n v="5"/>
    <n v="71"/>
    <x v="0"/>
    <x v="36"/>
  </r>
  <r>
    <n v="3315"/>
    <s v="2024-05-25"/>
    <s v="Jonas"/>
    <x v="4"/>
    <x v="0"/>
    <n v="3"/>
    <n v="135"/>
    <x v="2"/>
    <x v="285"/>
  </r>
  <r>
    <n v="3316"/>
    <s v="2024-03-01"/>
    <s v="Elif"/>
    <x v="5"/>
    <x v="1"/>
    <n v="4"/>
    <n v="217"/>
    <x v="0"/>
    <x v="191"/>
  </r>
  <r>
    <n v="3317"/>
    <s v="2024-03-14"/>
    <s v="David"/>
    <x v="5"/>
    <x v="1"/>
    <n v="1"/>
    <n v="161"/>
    <x v="0"/>
    <x v="286"/>
  </r>
  <r>
    <n v="3318"/>
    <s v="2024-04-01"/>
    <s v="Amina"/>
    <x v="0"/>
    <x v="0"/>
    <n v="1"/>
    <n v="330"/>
    <x v="0"/>
    <x v="287"/>
  </r>
  <r>
    <n v="3319"/>
    <s v="2024-03-14"/>
    <s v="Tom"/>
    <x v="0"/>
    <x v="0"/>
    <n v="3"/>
    <n v="347"/>
    <x v="1"/>
    <x v="288"/>
  </r>
  <r>
    <n v="3320"/>
    <s v="2024-06-16"/>
    <s v="Omar"/>
    <x v="1"/>
    <x v="1"/>
    <n v="6"/>
    <n v="471"/>
    <x v="1"/>
    <x v="289"/>
  </r>
  <r>
    <n v="3321"/>
    <s v="2024-04-27"/>
    <s v="Noah"/>
    <x v="2"/>
    <x v="1"/>
    <n v="3"/>
    <n v="50"/>
    <x v="0"/>
    <x v="290"/>
  </r>
  <r>
    <n v="3322"/>
    <s v="2024-03-04"/>
    <s v="Noah"/>
    <x v="4"/>
    <x v="0"/>
    <n v="3"/>
    <n v="136"/>
    <x v="0"/>
    <x v="117"/>
  </r>
  <r>
    <n v="3323"/>
    <s v="2024-01-26"/>
    <s v="Tom"/>
    <x v="2"/>
    <x v="1"/>
    <n v="3"/>
    <n v="62"/>
    <x v="2"/>
    <x v="30"/>
  </r>
  <r>
    <n v="3324"/>
    <s v="2024-02-21"/>
    <s v="Maria"/>
    <x v="6"/>
    <x v="0"/>
    <n v="1"/>
    <n v="332"/>
    <x v="2"/>
    <x v="66"/>
  </r>
  <r>
    <n v="3325"/>
    <s v="2024-04-29"/>
    <s v="David"/>
    <x v="7"/>
    <x v="1"/>
    <n v="3"/>
    <n v="923"/>
    <x v="2"/>
    <x v="291"/>
  </r>
  <r>
    <n v="3326"/>
    <s v="2024-02-14"/>
    <s v="Tom"/>
    <x v="4"/>
    <x v="0"/>
    <n v="4"/>
    <n v="139"/>
    <x v="2"/>
    <x v="71"/>
  </r>
  <r>
    <n v="3327"/>
    <s v="2024-03-21"/>
    <s v="Noah"/>
    <x v="2"/>
    <x v="1"/>
    <n v="2"/>
    <n v="78"/>
    <x v="1"/>
    <x v="81"/>
  </r>
  <r>
    <n v="3328"/>
    <s v="2024-04-24"/>
    <s v="Sara"/>
    <x v="5"/>
    <x v="1"/>
    <n v="6"/>
    <n v="225"/>
    <x v="0"/>
    <x v="292"/>
  </r>
  <r>
    <n v="3329"/>
    <s v="2024-03-02"/>
    <s v="Omar"/>
    <x v="2"/>
    <x v="1"/>
    <n v="4"/>
    <n v="71"/>
    <x v="0"/>
    <x v="293"/>
  </r>
  <r>
    <n v="3330"/>
    <s v="2024-01-11"/>
    <s v="Omar"/>
    <x v="2"/>
    <x v="1"/>
    <n v="3"/>
    <n v="82"/>
    <x v="1"/>
    <x v="294"/>
  </r>
  <r>
    <n v="3331"/>
    <s v="2024-01-08"/>
    <s v="Omar"/>
    <x v="8"/>
    <x v="1"/>
    <n v="6"/>
    <n v="77"/>
    <x v="0"/>
    <x v="18"/>
  </r>
  <r>
    <n v="3332"/>
    <s v="2024-04-27"/>
    <s v="Maria"/>
    <x v="4"/>
    <x v="0"/>
    <n v="2"/>
    <n v="78"/>
    <x v="0"/>
    <x v="81"/>
  </r>
  <r>
    <n v="3333"/>
    <s v="2024-02-12"/>
    <s v="Jonas"/>
    <x v="4"/>
    <x v="0"/>
    <n v="2"/>
    <n v="103"/>
    <x v="1"/>
    <x v="295"/>
  </r>
  <r>
    <n v="3334"/>
    <s v="2024-05-22"/>
    <s v="Tom"/>
    <x v="6"/>
    <x v="0"/>
    <n v="3"/>
    <n v="255"/>
    <x v="1"/>
    <x v="237"/>
  </r>
  <r>
    <n v="3335"/>
    <s v="2024-01-25"/>
    <s v="Maria"/>
    <x v="1"/>
    <x v="1"/>
    <n v="6"/>
    <n v="446"/>
    <x v="2"/>
    <x v="296"/>
  </r>
  <r>
    <n v="3336"/>
    <s v="2024-01-21"/>
    <s v="Elif"/>
    <x v="0"/>
    <x v="0"/>
    <n v="5"/>
    <n v="369"/>
    <x v="0"/>
    <x v="297"/>
  </r>
  <r>
    <n v="3337"/>
    <s v="2024-04-06"/>
    <s v="David"/>
    <x v="0"/>
    <x v="0"/>
    <n v="6"/>
    <n v="351"/>
    <x v="1"/>
    <x v="298"/>
  </r>
  <r>
    <n v="3338"/>
    <s v="2024-01-23"/>
    <s v="Nora"/>
    <x v="7"/>
    <x v="1"/>
    <n v="4"/>
    <n v="872"/>
    <x v="0"/>
    <x v="299"/>
  </r>
  <r>
    <n v="3339"/>
    <s v="2024-02-28"/>
    <s v="Elif"/>
    <x v="6"/>
    <x v="0"/>
    <n v="5"/>
    <n v="268"/>
    <x v="1"/>
    <x v="300"/>
  </r>
  <r>
    <n v="3340"/>
    <s v="2024-02-08"/>
    <s v="Amina"/>
    <x v="6"/>
    <x v="0"/>
    <n v="2"/>
    <n v="288"/>
    <x v="2"/>
    <x v="301"/>
  </r>
  <r>
    <n v="3341"/>
    <s v="2024-01-23"/>
    <s v="Mehdi"/>
    <x v="6"/>
    <x v="0"/>
    <n v="2"/>
    <n v="333"/>
    <x v="2"/>
    <x v="302"/>
  </r>
  <r>
    <n v="3342"/>
    <s v="2024-01-08"/>
    <s v="Omar"/>
    <x v="4"/>
    <x v="0"/>
    <n v="4"/>
    <n v="139"/>
    <x v="1"/>
    <x v="71"/>
  </r>
  <r>
    <n v="3343"/>
    <s v="2024-03-05"/>
    <s v="David"/>
    <x v="6"/>
    <x v="0"/>
    <n v="6"/>
    <n v="335"/>
    <x v="2"/>
    <x v="303"/>
  </r>
  <r>
    <n v="3344"/>
    <s v="2024-04-07"/>
    <s v="Sara"/>
    <x v="5"/>
    <x v="1"/>
    <n v="4"/>
    <n v="224"/>
    <x v="1"/>
    <x v="304"/>
  </r>
  <r>
    <n v="3345"/>
    <s v="2024-01-26"/>
    <s v="Maria"/>
    <x v="0"/>
    <x v="0"/>
    <n v="1"/>
    <n v="383"/>
    <x v="1"/>
    <x v="305"/>
  </r>
  <r>
    <n v="3346"/>
    <s v="2024-05-09"/>
    <s v="Tom"/>
    <x v="2"/>
    <x v="1"/>
    <n v="2"/>
    <n v="66"/>
    <x v="1"/>
    <x v="265"/>
  </r>
  <r>
    <n v="3347"/>
    <s v="2024-02-22"/>
    <s v="Nora"/>
    <x v="1"/>
    <x v="1"/>
    <n v="1"/>
    <n v="498"/>
    <x v="2"/>
    <x v="306"/>
  </r>
  <r>
    <n v="3348"/>
    <s v="2024-02-16"/>
    <s v="Nora"/>
    <x v="8"/>
    <x v="1"/>
    <n v="2"/>
    <n v="109"/>
    <x v="0"/>
    <x v="307"/>
  </r>
  <r>
    <n v="3349"/>
    <s v="2024-03-29"/>
    <s v="Maria"/>
    <x v="7"/>
    <x v="1"/>
    <n v="2"/>
    <n v="897"/>
    <x v="0"/>
    <x v="308"/>
  </r>
  <r>
    <n v="3350"/>
    <s v="2024-05-11"/>
    <s v="Jonas"/>
    <x v="4"/>
    <x v="0"/>
    <n v="5"/>
    <n v="73"/>
    <x v="2"/>
    <x v="309"/>
  </r>
  <r>
    <n v="3351"/>
    <s v="2024-01-27"/>
    <s v="David"/>
    <x v="3"/>
    <x v="1"/>
    <n v="1"/>
    <n v="48"/>
    <x v="1"/>
    <x v="310"/>
  </r>
  <r>
    <n v="3352"/>
    <s v="2024-03-13"/>
    <s v="Elif"/>
    <x v="4"/>
    <x v="0"/>
    <n v="4"/>
    <n v="62"/>
    <x v="0"/>
    <x v="311"/>
  </r>
  <r>
    <n v="3353"/>
    <s v="2024-05-26"/>
    <s v="Lina"/>
    <x v="2"/>
    <x v="1"/>
    <n v="5"/>
    <n v="40"/>
    <x v="0"/>
    <x v="236"/>
  </r>
  <r>
    <n v="3354"/>
    <s v="2024-03-28"/>
    <s v="Mehdi"/>
    <x v="3"/>
    <x v="1"/>
    <n v="2"/>
    <n v="7"/>
    <x v="1"/>
    <x v="312"/>
  </r>
  <r>
    <n v="3355"/>
    <s v="2024-01-21"/>
    <s v="Nora"/>
    <x v="0"/>
    <x v="0"/>
    <n v="6"/>
    <n v="309"/>
    <x v="0"/>
    <x v="313"/>
  </r>
  <r>
    <n v="3356"/>
    <s v="2024-01-22"/>
    <s v="Mehdi"/>
    <x v="0"/>
    <x v="0"/>
    <n v="6"/>
    <n v="371"/>
    <x v="2"/>
    <x v="314"/>
  </r>
  <r>
    <n v="3357"/>
    <s v="2024-03-04"/>
    <s v="Nora"/>
    <x v="6"/>
    <x v="0"/>
    <n v="5"/>
    <n v="329"/>
    <x v="1"/>
    <x v="315"/>
  </r>
  <r>
    <n v="3358"/>
    <s v="2024-05-26"/>
    <s v="Maria"/>
    <x v="6"/>
    <x v="0"/>
    <n v="3"/>
    <n v="260"/>
    <x v="0"/>
    <x v="316"/>
  </r>
  <r>
    <n v="3359"/>
    <s v="2024-04-07"/>
    <s v="Omar"/>
    <x v="8"/>
    <x v="1"/>
    <n v="2"/>
    <n v="78"/>
    <x v="0"/>
    <x v="81"/>
  </r>
  <r>
    <n v="3360"/>
    <s v="2024-01-18"/>
    <s v="Omar"/>
    <x v="8"/>
    <x v="1"/>
    <n v="4"/>
    <n v="66"/>
    <x v="2"/>
    <x v="87"/>
  </r>
  <r>
    <n v="3361"/>
    <s v="2024-03-15"/>
    <s v="Elif"/>
    <x v="3"/>
    <x v="1"/>
    <n v="2"/>
    <n v="40"/>
    <x v="2"/>
    <x v="317"/>
  </r>
  <r>
    <n v="3362"/>
    <s v="2024-02-21"/>
    <s v="Maria"/>
    <x v="5"/>
    <x v="1"/>
    <n v="5"/>
    <n v="229"/>
    <x v="0"/>
    <x v="318"/>
  </r>
  <r>
    <n v="3363"/>
    <s v="2024-03-01"/>
    <s v="Jonas"/>
    <x v="4"/>
    <x v="0"/>
    <n v="3"/>
    <n v="146"/>
    <x v="0"/>
    <x v="121"/>
  </r>
  <r>
    <n v="3364"/>
    <s v="2024-04-09"/>
    <s v="Tom"/>
    <x v="5"/>
    <x v="1"/>
    <n v="6"/>
    <n v="246"/>
    <x v="2"/>
    <x v="319"/>
  </r>
  <r>
    <n v="3365"/>
    <s v="2024-04-03"/>
    <s v="David"/>
    <x v="4"/>
    <x v="0"/>
    <n v="2"/>
    <n v="103"/>
    <x v="1"/>
    <x v="295"/>
  </r>
  <r>
    <n v="3366"/>
    <s v="2024-01-05"/>
    <s v="Jonas"/>
    <x v="7"/>
    <x v="1"/>
    <n v="5"/>
    <n v="933"/>
    <x v="0"/>
    <x v="320"/>
  </r>
  <r>
    <n v="3367"/>
    <s v="2024-06-04"/>
    <s v="Jonas"/>
    <x v="8"/>
    <x v="1"/>
    <n v="2"/>
    <n v="120"/>
    <x v="2"/>
    <x v="321"/>
  </r>
  <r>
    <n v="3368"/>
    <s v="2024-03-03"/>
    <s v="Lina"/>
    <x v="6"/>
    <x v="0"/>
    <n v="3"/>
    <n v="287"/>
    <x v="2"/>
    <x v="322"/>
  </r>
  <r>
    <n v="3369"/>
    <s v="2024-05-17"/>
    <s v="Nora"/>
    <x v="3"/>
    <x v="1"/>
    <n v="3"/>
    <n v="60"/>
    <x v="2"/>
    <x v="173"/>
  </r>
  <r>
    <n v="3370"/>
    <s v="2024-06-06"/>
    <s v="Amina"/>
    <x v="1"/>
    <x v="1"/>
    <n v="3"/>
    <n v="456"/>
    <x v="2"/>
    <x v="323"/>
  </r>
  <r>
    <n v="3371"/>
    <s v="2024-05-06"/>
    <s v="Amina"/>
    <x v="3"/>
    <x v="1"/>
    <n v="3"/>
    <n v="-25"/>
    <x v="2"/>
    <x v="324"/>
  </r>
  <r>
    <n v="3372"/>
    <s v="2024-06-27"/>
    <s v="Lina"/>
    <x v="8"/>
    <x v="1"/>
    <n v="3"/>
    <n v="36"/>
    <x v="1"/>
    <x v="129"/>
  </r>
  <r>
    <n v="3373"/>
    <s v="2024-02-12"/>
    <s v="Lina"/>
    <x v="3"/>
    <x v="1"/>
    <n v="3"/>
    <n v="7"/>
    <x v="1"/>
    <x v="325"/>
  </r>
  <r>
    <n v="3374"/>
    <s v="2024-03-22"/>
    <s v="Sara"/>
    <x v="8"/>
    <x v="1"/>
    <n v="4"/>
    <n v="123"/>
    <x v="2"/>
    <x v="326"/>
  </r>
  <r>
    <n v="3375"/>
    <s v="2024-06-11"/>
    <s v="Lina"/>
    <x v="6"/>
    <x v="0"/>
    <n v="1"/>
    <n v="319"/>
    <x v="1"/>
    <x v="327"/>
  </r>
  <r>
    <n v="3376"/>
    <s v="2024-01-18"/>
    <s v="Amina"/>
    <x v="0"/>
    <x v="0"/>
    <n v="4"/>
    <n v="379"/>
    <x v="2"/>
    <x v="328"/>
  </r>
  <r>
    <n v="3377"/>
    <s v="2024-06-19"/>
    <s v="Tom"/>
    <x v="1"/>
    <x v="1"/>
    <n v="4"/>
    <n v="466"/>
    <x v="0"/>
    <x v="329"/>
  </r>
  <r>
    <n v="3378"/>
    <s v="2024-03-18"/>
    <s v="Noah"/>
    <x v="8"/>
    <x v="1"/>
    <n v="5"/>
    <n v="114"/>
    <x v="0"/>
    <x v="141"/>
  </r>
  <r>
    <n v="3379"/>
    <s v="2024-02-02"/>
    <s v="Noah"/>
    <x v="3"/>
    <x v="1"/>
    <n v="3"/>
    <n v="50"/>
    <x v="0"/>
    <x v="290"/>
  </r>
  <r>
    <n v="3380"/>
    <s v="2024-05-07"/>
    <s v="Elif"/>
    <x v="0"/>
    <x v="0"/>
    <n v="6"/>
    <n v="383"/>
    <x v="0"/>
    <x v="330"/>
  </r>
  <r>
    <n v="3381"/>
    <s v="2024-05-14"/>
    <s v="Omar"/>
    <x v="0"/>
    <x v="0"/>
    <n v="6"/>
    <n v="357"/>
    <x v="1"/>
    <x v="331"/>
  </r>
  <r>
    <n v="3382"/>
    <s v="2024-06-17"/>
    <s v="Tom"/>
    <x v="2"/>
    <x v="1"/>
    <n v="1"/>
    <n v="68"/>
    <x v="2"/>
    <x v="332"/>
  </r>
  <r>
    <n v="3383"/>
    <s v="2024-05-27"/>
    <s v="David"/>
    <x v="0"/>
    <x v="0"/>
    <n v="1"/>
    <n v="373"/>
    <x v="0"/>
    <x v="16"/>
  </r>
  <r>
    <n v="3384"/>
    <s v="2024-02-25"/>
    <s v="Maria"/>
    <x v="4"/>
    <x v="0"/>
    <n v="4"/>
    <n v="102"/>
    <x v="2"/>
    <x v="117"/>
  </r>
  <r>
    <n v="3385"/>
    <s v="2024-03-29"/>
    <s v="Jonas"/>
    <x v="7"/>
    <x v="1"/>
    <n v="6"/>
    <n v="926"/>
    <x v="1"/>
    <x v="333"/>
  </r>
  <r>
    <n v="3386"/>
    <s v="2024-03-05"/>
    <s v="Elif"/>
    <x v="0"/>
    <x v="0"/>
    <n v="5"/>
    <n v="325"/>
    <x v="2"/>
    <x v="334"/>
  </r>
  <r>
    <n v="3387"/>
    <s v="2024-04-07"/>
    <s v="Lina"/>
    <x v="7"/>
    <x v="1"/>
    <n v="1"/>
    <n v="888"/>
    <x v="2"/>
    <x v="335"/>
  </r>
  <r>
    <n v="3388"/>
    <s v="2024-02-27"/>
    <s v="David"/>
    <x v="0"/>
    <x v="0"/>
    <n v="4"/>
    <n v="392"/>
    <x v="1"/>
    <x v="336"/>
  </r>
  <r>
    <n v="3389"/>
    <s v="2024-02-24"/>
    <s v="Nora"/>
    <x v="0"/>
    <x v="0"/>
    <n v="5"/>
    <n v="373"/>
    <x v="2"/>
    <x v="337"/>
  </r>
  <r>
    <n v="3390"/>
    <s v="2024-03-05"/>
    <s v="Amina"/>
    <x v="1"/>
    <x v="1"/>
    <n v="1"/>
    <n v="451"/>
    <x v="2"/>
    <x v="338"/>
  </r>
  <r>
    <n v="3391"/>
    <s v="2024-06-12"/>
    <s v="Amina"/>
    <x v="4"/>
    <x v="0"/>
    <n v="3"/>
    <n v="93"/>
    <x v="1"/>
    <x v="339"/>
  </r>
  <r>
    <n v="3392"/>
    <s v="2024-01-19"/>
    <s v="Nora"/>
    <x v="3"/>
    <x v="1"/>
    <n v="4"/>
    <n v="11"/>
    <x v="2"/>
    <x v="340"/>
  </r>
  <r>
    <n v="3393"/>
    <s v="2024-01-05"/>
    <s v="Sara"/>
    <x v="6"/>
    <x v="0"/>
    <n v="3"/>
    <n v="284"/>
    <x v="2"/>
    <x v="145"/>
  </r>
  <r>
    <n v="3394"/>
    <s v="2024-05-11"/>
    <s v="Nora"/>
    <x v="7"/>
    <x v="1"/>
    <n v="5"/>
    <n v="871"/>
    <x v="1"/>
    <x v="341"/>
  </r>
  <r>
    <n v="3395"/>
    <s v="2024-06-01"/>
    <s v="Nora"/>
    <x v="7"/>
    <x v="1"/>
    <n v="4"/>
    <n v="851"/>
    <x v="2"/>
    <x v="342"/>
  </r>
  <r>
    <n v="3396"/>
    <s v="2024-01-01"/>
    <s v="David"/>
    <x v="0"/>
    <x v="0"/>
    <n v="3"/>
    <n v="371"/>
    <x v="2"/>
    <x v="343"/>
  </r>
  <r>
    <n v="3397"/>
    <s v="2024-04-12"/>
    <s v="Omar"/>
    <x v="3"/>
    <x v="1"/>
    <n v="6"/>
    <n v="45"/>
    <x v="0"/>
    <x v="344"/>
  </r>
  <r>
    <n v="3398"/>
    <s v="2024-01-03"/>
    <s v="Sara"/>
    <x v="2"/>
    <x v="1"/>
    <n v="3"/>
    <n v="-11"/>
    <x v="1"/>
    <x v="282"/>
  </r>
  <r>
    <n v="3399"/>
    <s v="2024-05-09"/>
    <s v="Nora"/>
    <x v="7"/>
    <x v="1"/>
    <n v="3"/>
    <n v="933"/>
    <x v="2"/>
    <x v="345"/>
  </r>
  <r>
    <n v="3400"/>
    <s v="2024-05-05"/>
    <s v="Lina"/>
    <x v="8"/>
    <x v="1"/>
    <n v="6"/>
    <n v="85"/>
    <x v="2"/>
    <x v="346"/>
  </r>
  <r>
    <n v="3401"/>
    <s v="2024-05-27"/>
    <s v="Mehdi"/>
    <x v="1"/>
    <x v="1"/>
    <n v="4"/>
    <n v="427"/>
    <x v="0"/>
    <x v="347"/>
  </r>
  <r>
    <n v="3402"/>
    <s v="2024-03-25"/>
    <s v="Tom"/>
    <x v="4"/>
    <x v="0"/>
    <n v="5"/>
    <n v="70"/>
    <x v="2"/>
    <x v="64"/>
  </r>
  <r>
    <n v="3403"/>
    <s v="2024-04-08"/>
    <s v="Elif"/>
    <x v="8"/>
    <x v="1"/>
    <n v="4"/>
    <n v="25"/>
    <x v="2"/>
    <x v="348"/>
  </r>
  <r>
    <n v="3404"/>
    <s v="2024-04-08"/>
    <s v="Elif"/>
    <x v="6"/>
    <x v="0"/>
    <n v="6"/>
    <n v="303"/>
    <x v="2"/>
    <x v="349"/>
  </r>
  <r>
    <n v="3405"/>
    <s v="2024-01-26"/>
    <s v="Sara"/>
    <x v="2"/>
    <x v="1"/>
    <n v="4"/>
    <n v="64"/>
    <x v="0"/>
    <x v="350"/>
  </r>
  <r>
    <n v="3406"/>
    <s v="2024-06-01"/>
    <s v="Mehdi"/>
    <x v="1"/>
    <x v="1"/>
    <n v="3"/>
    <n v="452"/>
    <x v="0"/>
    <x v="351"/>
  </r>
  <r>
    <n v="3407"/>
    <s v="2024-03-11"/>
    <s v="Nora"/>
    <x v="2"/>
    <x v="1"/>
    <n v="1"/>
    <n v="33"/>
    <x v="1"/>
    <x v="352"/>
  </r>
  <r>
    <n v="3408"/>
    <s v="2024-05-30"/>
    <s v="Lina"/>
    <x v="0"/>
    <x v="0"/>
    <n v="5"/>
    <n v="313"/>
    <x v="1"/>
    <x v="353"/>
  </r>
  <r>
    <n v="3409"/>
    <s v="2024-01-16"/>
    <s v="Omar"/>
    <x v="4"/>
    <x v="0"/>
    <n v="6"/>
    <n v="55"/>
    <x v="1"/>
    <x v="287"/>
  </r>
  <r>
    <n v="3410"/>
    <s v="2024-04-08"/>
    <s v="Omar"/>
    <x v="6"/>
    <x v="0"/>
    <n v="2"/>
    <n v="317"/>
    <x v="0"/>
    <x v="354"/>
  </r>
  <r>
    <n v="3411"/>
    <s v="2024-02-23"/>
    <s v="Omar"/>
    <x v="3"/>
    <x v="1"/>
    <n v="5"/>
    <n v="61"/>
    <x v="1"/>
    <x v="166"/>
  </r>
  <r>
    <n v="3412"/>
    <s v="2024-03-02"/>
    <s v="Amina"/>
    <x v="1"/>
    <x v="1"/>
    <n v="1"/>
    <n v="411"/>
    <x v="0"/>
    <x v="355"/>
  </r>
  <r>
    <n v="3413"/>
    <s v="2024-03-01"/>
    <s v="Elif"/>
    <x v="0"/>
    <x v="0"/>
    <n v="5"/>
    <n v="322"/>
    <x v="0"/>
    <x v="356"/>
  </r>
  <r>
    <n v="3414"/>
    <s v="2024-02-01"/>
    <s v="Nora"/>
    <x v="3"/>
    <x v="1"/>
    <n v="6"/>
    <n v="40"/>
    <x v="1"/>
    <x v="321"/>
  </r>
  <r>
    <n v="3415"/>
    <s v="2024-02-18"/>
    <s v="Noah"/>
    <x v="3"/>
    <x v="1"/>
    <n v="5"/>
    <n v="8"/>
    <x v="2"/>
    <x v="357"/>
  </r>
  <r>
    <n v="3416"/>
    <s v="2024-04-28"/>
    <s v="Amina"/>
    <x v="6"/>
    <x v="0"/>
    <n v="2"/>
    <n v="288"/>
    <x v="0"/>
    <x v="301"/>
  </r>
  <r>
    <n v="3417"/>
    <s v="2024-04-10"/>
    <s v="Nora"/>
    <x v="1"/>
    <x v="1"/>
    <n v="2"/>
    <n v="474"/>
    <x v="1"/>
    <x v="358"/>
  </r>
  <r>
    <n v="3418"/>
    <s v="2024-03-22"/>
    <s v="Maria"/>
    <x v="8"/>
    <x v="1"/>
    <n v="6"/>
    <n v="69"/>
    <x v="0"/>
    <x v="359"/>
  </r>
  <r>
    <n v="3419"/>
    <s v="2024-02-21"/>
    <s v="Tom"/>
    <x v="5"/>
    <x v="1"/>
    <n v="4"/>
    <n v="208"/>
    <x v="2"/>
    <x v="360"/>
  </r>
  <r>
    <n v="3420"/>
    <s v="2024-03-18"/>
    <s v="Elif"/>
    <x v="8"/>
    <x v="1"/>
    <n v="5"/>
    <n v="100"/>
    <x v="2"/>
    <x v="361"/>
  </r>
  <r>
    <n v="3421"/>
    <s v="2024-04-02"/>
    <s v="Tom"/>
    <x v="7"/>
    <x v="1"/>
    <n v="2"/>
    <n v="891"/>
    <x v="2"/>
    <x v="362"/>
  </r>
  <r>
    <n v="3422"/>
    <s v="2024-03-27"/>
    <s v="Omar"/>
    <x v="3"/>
    <x v="1"/>
    <n v="2"/>
    <n v="33"/>
    <x v="1"/>
    <x v="363"/>
  </r>
  <r>
    <n v="3423"/>
    <s v="2024-01-10"/>
    <s v="Mehdi"/>
    <x v="1"/>
    <x v="1"/>
    <n v="2"/>
    <n v="419"/>
    <x v="0"/>
    <x v="364"/>
  </r>
  <r>
    <n v="3424"/>
    <s v="2024-04-14"/>
    <s v="Maria"/>
    <x v="1"/>
    <x v="1"/>
    <n v="1"/>
    <n v="431"/>
    <x v="0"/>
    <x v="365"/>
  </r>
  <r>
    <n v="3425"/>
    <s v="2024-04-14"/>
    <s v="Maria"/>
    <x v="0"/>
    <x v="0"/>
    <n v="5"/>
    <n v="340"/>
    <x v="2"/>
    <x v="366"/>
  </r>
  <r>
    <n v="3426"/>
    <s v="2024-02-19"/>
    <s v="Amina"/>
    <x v="2"/>
    <x v="1"/>
    <n v="3"/>
    <n v="67"/>
    <x v="1"/>
    <x v="367"/>
  </r>
  <r>
    <n v="3427"/>
    <s v="2024-05-02"/>
    <s v="Nora"/>
    <x v="0"/>
    <x v="0"/>
    <n v="2"/>
    <n v="315"/>
    <x v="2"/>
    <x v="368"/>
  </r>
  <r>
    <n v="3428"/>
    <s v="2024-04-19"/>
    <s v="Noah"/>
    <x v="5"/>
    <x v="1"/>
    <n v="6"/>
    <n v="224"/>
    <x v="0"/>
    <x v="369"/>
  </r>
  <r>
    <n v="3429"/>
    <s v="2024-03-22"/>
    <s v="Maria"/>
    <x v="0"/>
    <x v="0"/>
    <n v="6"/>
    <n v="393"/>
    <x v="2"/>
    <x v="370"/>
  </r>
  <r>
    <n v="3430"/>
    <s v="2024-02-29"/>
    <s v="Maria"/>
    <x v="0"/>
    <x v="0"/>
    <n v="1"/>
    <n v="397"/>
    <x v="2"/>
    <x v="371"/>
  </r>
  <r>
    <n v="3431"/>
    <s v="2024-05-25"/>
    <s v="Mehdi"/>
    <x v="5"/>
    <x v="1"/>
    <n v="2"/>
    <n v="242"/>
    <x v="0"/>
    <x v="372"/>
  </r>
  <r>
    <n v="3432"/>
    <s v="2024-03-06"/>
    <s v="Sara"/>
    <x v="6"/>
    <x v="0"/>
    <n v="6"/>
    <n v="289"/>
    <x v="1"/>
    <x v="373"/>
  </r>
  <r>
    <n v="3433"/>
    <s v="2024-06-09"/>
    <s v="Amina"/>
    <x v="7"/>
    <x v="1"/>
    <n v="4"/>
    <n v="945"/>
    <x v="2"/>
    <x v="374"/>
  </r>
  <r>
    <n v="3434"/>
    <s v="2024-06-18"/>
    <s v="Mehdi"/>
    <x v="7"/>
    <x v="1"/>
    <n v="5"/>
    <n v="857"/>
    <x v="1"/>
    <x v="375"/>
  </r>
  <r>
    <n v="3435"/>
    <s v="2024-03-24"/>
    <s v="Sara"/>
    <x v="6"/>
    <x v="0"/>
    <n v="2"/>
    <n v="264"/>
    <x v="2"/>
    <x v="376"/>
  </r>
  <r>
    <n v="3436"/>
    <s v="2024-03-12"/>
    <s v="Tom"/>
    <x v="5"/>
    <x v="1"/>
    <n v="1"/>
    <n v="235"/>
    <x v="2"/>
    <x v="377"/>
  </r>
  <r>
    <n v="3437"/>
    <s v="2024-06-17"/>
    <s v="Nora"/>
    <x v="1"/>
    <x v="1"/>
    <n v="5"/>
    <n v="412"/>
    <x v="0"/>
    <x v="378"/>
  </r>
  <r>
    <n v="3438"/>
    <s v="2024-06-14"/>
    <s v="Maria"/>
    <x v="7"/>
    <x v="1"/>
    <n v="5"/>
    <n v="874"/>
    <x v="1"/>
    <x v="379"/>
  </r>
  <r>
    <n v="3439"/>
    <s v="2024-02-21"/>
    <s v="Maria"/>
    <x v="0"/>
    <x v="0"/>
    <n v="4"/>
    <n v="326"/>
    <x v="0"/>
    <x v="380"/>
  </r>
  <r>
    <n v="3440"/>
    <s v="2024-03-23"/>
    <s v="Omar"/>
    <x v="5"/>
    <x v="1"/>
    <n v="4"/>
    <n v="188"/>
    <x v="0"/>
    <x v="381"/>
  </r>
  <r>
    <n v="3441"/>
    <s v="2024-01-28"/>
    <s v="Amina"/>
    <x v="5"/>
    <x v="1"/>
    <n v="6"/>
    <n v="190"/>
    <x v="1"/>
    <x v="24"/>
  </r>
  <r>
    <n v="3442"/>
    <s v="2024-01-30"/>
    <s v="Sara"/>
    <x v="5"/>
    <x v="1"/>
    <n v="2"/>
    <n v="175"/>
    <x v="2"/>
    <x v="64"/>
  </r>
  <r>
    <n v="3443"/>
    <s v="2024-02-10"/>
    <s v="Noah"/>
    <x v="3"/>
    <x v="1"/>
    <n v="2"/>
    <n v="56"/>
    <x v="2"/>
    <x v="382"/>
  </r>
  <r>
    <n v="3444"/>
    <s v="2024-04-02"/>
    <s v="Tom"/>
    <x v="3"/>
    <x v="1"/>
    <n v="4"/>
    <n v="59"/>
    <x v="1"/>
    <x v="263"/>
  </r>
  <r>
    <n v="3445"/>
    <s v="2024-02-01"/>
    <s v="Amina"/>
    <x v="3"/>
    <x v="1"/>
    <n v="5"/>
    <n v="-21"/>
    <x v="0"/>
    <x v="383"/>
  </r>
  <r>
    <n v="3446"/>
    <s v="2024-05-18"/>
    <s v="Noah"/>
    <x v="5"/>
    <x v="1"/>
    <n v="3"/>
    <n v="155"/>
    <x v="2"/>
    <x v="384"/>
  </r>
  <r>
    <n v="3447"/>
    <s v="2024-04-25"/>
    <s v="David"/>
    <x v="8"/>
    <x v="1"/>
    <n v="4"/>
    <n v="71"/>
    <x v="2"/>
    <x v="293"/>
  </r>
  <r>
    <n v="3448"/>
    <s v="2024-01-30"/>
    <s v="Noah"/>
    <x v="4"/>
    <x v="0"/>
    <n v="6"/>
    <n v="144"/>
    <x v="2"/>
    <x v="140"/>
  </r>
  <r>
    <n v="3449"/>
    <s v="2024-04-15"/>
    <s v="Omar"/>
    <x v="5"/>
    <x v="1"/>
    <n v="5"/>
    <n v="153"/>
    <x v="1"/>
    <x v="237"/>
  </r>
  <r>
    <n v="3450"/>
    <s v="2024-05-12"/>
    <s v="Tom"/>
    <x v="4"/>
    <x v="0"/>
    <n v="6"/>
    <n v="124"/>
    <x v="0"/>
    <x v="385"/>
  </r>
  <r>
    <n v="3451"/>
    <s v="2024-04-24"/>
    <s v="Noah"/>
    <x v="4"/>
    <x v="0"/>
    <n v="1"/>
    <n v="109"/>
    <x v="2"/>
    <x v="386"/>
  </r>
  <r>
    <n v="3452"/>
    <s v="2024-05-13"/>
    <s v="Mehdi"/>
    <x v="8"/>
    <x v="1"/>
    <n v="3"/>
    <n v="56"/>
    <x v="2"/>
    <x v="387"/>
  </r>
  <r>
    <n v="3453"/>
    <s v="2024-06-11"/>
    <s v="David"/>
    <x v="2"/>
    <x v="1"/>
    <n v="2"/>
    <n v="15"/>
    <x v="1"/>
    <x v="198"/>
  </r>
  <r>
    <n v="3454"/>
    <s v="2024-04-14"/>
    <s v="Lina"/>
    <x v="8"/>
    <x v="1"/>
    <n v="6"/>
    <n v="53"/>
    <x v="0"/>
    <x v="63"/>
  </r>
  <r>
    <n v="3455"/>
    <s v="2024-04-27"/>
    <s v="Omar"/>
    <x v="8"/>
    <x v="1"/>
    <n v="6"/>
    <n v="75"/>
    <x v="2"/>
    <x v="40"/>
  </r>
  <r>
    <n v="3456"/>
    <s v="2024-05-01"/>
    <s v="Omar"/>
    <x v="2"/>
    <x v="1"/>
    <n v="2"/>
    <n v="60"/>
    <x v="2"/>
    <x v="388"/>
  </r>
  <r>
    <n v="3457"/>
    <s v="2024-02-05"/>
    <s v="Amina"/>
    <x v="3"/>
    <x v="1"/>
    <n v="1"/>
    <n v="-16"/>
    <x v="1"/>
    <x v="389"/>
  </r>
  <r>
    <n v="3458"/>
    <s v="2024-01-17"/>
    <s v="Maria"/>
    <x v="7"/>
    <x v="1"/>
    <n v="3"/>
    <n v="867"/>
    <x v="0"/>
    <x v="390"/>
  </r>
  <r>
    <n v="3459"/>
    <s v="2024-01-28"/>
    <s v="Noah"/>
    <x v="5"/>
    <x v="1"/>
    <n v="3"/>
    <n v="159"/>
    <x v="1"/>
    <x v="391"/>
  </r>
  <r>
    <n v="3460"/>
    <s v="2024-02-04"/>
    <s v="Maria"/>
    <x v="5"/>
    <x v="1"/>
    <n v="5"/>
    <n v="162"/>
    <x v="1"/>
    <x v="392"/>
  </r>
  <r>
    <n v="3461"/>
    <s v="2024-06-19"/>
    <s v="Nora"/>
    <x v="5"/>
    <x v="1"/>
    <n v="6"/>
    <n v="154"/>
    <x v="0"/>
    <x v="393"/>
  </r>
  <r>
    <n v="3462"/>
    <s v="2024-01-05"/>
    <s v="Jonas"/>
    <x v="2"/>
    <x v="1"/>
    <n v="6"/>
    <n v="72"/>
    <x v="1"/>
    <x v="394"/>
  </r>
  <r>
    <n v="3463"/>
    <s v="2024-01-14"/>
    <s v="Elif"/>
    <x v="6"/>
    <x v="0"/>
    <n v="6"/>
    <n v="308"/>
    <x v="0"/>
    <x v="274"/>
  </r>
  <r>
    <n v="3464"/>
    <s v="2024-04-18"/>
    <s v="Lina"/>
    <x v="5"/>
    <x v="1"/>
    <n v="4"/>
    <n v="210"/>
    <x v="1"/>
    <x v="56"/>
  </r>
  <r>
    <n v="3465"/>
    <s v="2024-04-04"/>
    <s v="Jonas"/>
    <x v="1"/>
    <x v="1"/>
    <n v="6"/>
    <n v="487"/>
    <x v="2"/>
    <x v="395"/>
  </r>
  <r>
    <n v="3466"/>
    <s v="2024-01-17"/>
    <s v="Omar"/>
    <x v="5"/>
    <x v="1"/>
    <n v="6"/>
    <n v="197"/>
    <x v="2"/>
    <x v="396"/>
  </r>
  <r>
    <n v="3467"/>
    <s v="2024-05-27"/>
    <s v="Nora"/>
    <x v="8"/>
    <x v="1"/>
    <n v="2"/>
    <n v="107"/>
    <x v="2"/>
    <x v="397"/>
  </r>
  <r>
    <n v="3468"/>
    <s v="2024-05-23"/>
    <s v="Sara"/>
    <x v="2"/>
    <x v="1"/>
    <n v="4"/>
    <n v="23"/>
    <x v="1"/>
    <x v="398"/>
  </r>
  <r>
    <n v="3469"/>
    <s v="2024-01-19"/>
    <s v="Noah"/>
    <x v="4"/>
    <x v="0"/>
    <n v="3"/>
    <n v="113"/>
    <x v="2"/>
    <x v="399"/>
  </r>
  <r>
    <n v="3470"/>
    <s v="2024-03-06"/>
    <s v="Maria"/>
    <x v="1"/>
    <x v="1"/>
    <n v="3"/>
    <n v="494"/>
    <x v="0"/>
    <x v="400"/>
  </r>
  <r>
    <n v="3471"/>
    <s v="2024-02-28"/>
    <s v="Mehdi"/>
    <x v="7"/>
    <x v="1"/>
    <n v="2"/>
    <n v="858"/>
    <x v="0"/>
    <x v="401"/>
  </r>
  <r>
    <n v="3472"/>
    <s v="2024-05-26"/>
    <s v="Omar"/>
    <x v="3"/>
    <x v="1"/>
    <n v="5"/>
    <n v="-20"/>
    <x v="0"/>
    <x v="402"/>
  </r>
  <r>
    <n v="3473"/>
    <s v="2024-02-28"/>
    <s v="Tom"/>
    <x v="1"/>
    <x v="1"/>
    <n v="3"/>
    <n v="452"/>
    <x v="1"/>
    <x v="351"/>
  </r>
  <r>
    <n v="3474"/>
    <s v="2024-01-29"/>
    <s v="Jonas"/>
    <x v="0"/>
    <x v="0"/>
    <n v="6"/>
    <n v="371"/>
    <x v="2"/>
    <x v="314"/>
  </r>
  <r>
    <n v="3475"/>
    <s v="2024-02-09"/>
    <s v="Tom"/>
    <x v="1"/>
    <x v="1"/>
    <n v="1"/>
    <n v="415"/>
    <x v="0"/>
    <x v="403"/>
  </r>
  <r>
    <n v="3476"/>
    <s v="2024-05-17"/>
    <s v="David"/>
    <x v="4"/>
    <x v="0"/>
    <n v="1"/>
    <n v="53"/>
    <x v="2"/>
    <x v="404"/>
  </r>
  <r>
    <n v="3477"/>
    <s v="2024-05-24"/>
    <s v="Lina"/>
    <x v="8"/>
    <x v="1"/>
    <n v="1"/>
    <n v="105"/>
    <x v="2"/>
    <x v="405"/>
  </r>
  <r>
    <n v="3478"/>
    <s v="2024-04-06"/>
    <s v="Elif"/>
    <x v="4"/>
    <x v="0"/>
    <n v="4"/>
    <n v="145"/>
    <x v="1"/>
    <x v="406"/>
  </r>
  <r>
    <n v="3479"/>
    <s v="2024-04-19"/>
    <s v="Lina"/>
    <x v="4"/>
    <x v="0"/>
    <n v="5"/>
    <n v="71"/>
    <x v="1"/>
    <x v="36"/>
  </r>
  <r>
    <n v="3480"/>
    <s v="2024-04-15"/>
    <s v="Amina"/>
    <x v="2"/>
    <x v="1"/>
    <n v="2"/>
    <n v="5"/>
    <x v="0"/>
    <x v="407"/>
  </r>
  <r>
    <n v="3481"/>
    <s v="2024-06-24"/>
    <s v="Omar"/>
    <x v="7"/>
    <x v="1"/>
    <n v="6"/>
    <n v="911"/>
    <x v="2"/>
    <x v="408"/>
  </r>
  <r>
    <n v="3482"/>
    <s v="2024-01-04"/>
    <s v="Sara"/>
    <x v="8"/>
    <x v="1"/>
    <n v="6"/>
    <n v="68"/>
    <x v="1"/>
    <x v="117"/>
  </r>
  <r>
    <n v="3483"/>
    <s v="2024-06-10"/>
    <s v="Lina"/>
    <x v="8"/>
    <x v="1"/>
    <n v="5"/>
    <n v="50"/>
    <x v="1"/>
    <x v="409"/>
  </r>
  <r>
    <n v="3484"/>
    <s v="2024-06-23"/>
    <s v="David"/>
    <x v="0"/>
    <x v="0"/>
    <n v="6"/>
    <n v="358"/>
    <x v="2"/>
    <x v="410"/>
  </r>
  <r>
    <n v="3485"/>
    <s v="2024-03-17"/>
    <s v="Omar"/>
    <x v="4"/>
    <x v="0"/>
    <n v="4"/>
    <n v="90"/>
    <x v="1"/>
    <x v="9"/>
  </r>
  <r>
    <n v="3486"/>
    <s v="2024-02-17"/>
    <s v="Lina"/>
    <x v="1"/>
    <x v="1"/>
    <n v="1"/>
    <n v="405"/>
    <x v="1"/>
    <x v="285"/>
  </r>
  <r>
    <n v="3487"/>
    <s v="2024-05-14"/>
    <s v="David"/>
    <x v="1"/>
    <x v="1"/>
    <n v="4"/>
    <n v="459"/>
    <x v="2"/>
    <x v="226"/>
  </r>
  <r>
    <n v="3488"/>
    <s v="2024-01-14"/>
    <s v="Tom"/>
    <x v="6"/>
    <x v="0"/>
    <n v="2"/>
    <n v="296"/>
    <x v="0"/>
    <x v="411"/>
  </r>
  <r>
    <n v="3489"/>
    <s v="2024-04-20"/>
    <s v="David"/>
    <x v="0"/>
    <x v="0"/>
    <n v="4"/>
    <n v="355"/>
    <x v="1"/>
    <x v="412"/>
  </r>
  <r>
    <n v="3490"/>
    <s v="2024-05-02"/>
    <s v="Elif"/>
    <x v="7"/>
    <x v="1"/>
    <n v="1"/>
    <n v="899"/>
    <x v="0"/>
    <x v="413"/>
  </r>
  <r>
    <n v="3491"/>
    <s v="2024-06-26"/>
    <s v="Sara"/>
    <x v="1"/>
    <x v="1"/>
    <n v="1"/>
    <n v="484"/>
    <x v="2"/>
    <x v="372"/>
  </r>
  <r>
    <n v="3492"/>
    <s v="2024-05-13"/>
    <s v="Noah"/>
    <x v="4"/>
    <x v="0"/>
    <n v="2"/>
    <n v="126"/>
    <x v="0"/>
    <x v="268"/>
  </r>
  <r>
    <n v="3493"/>
    <s v="2024-03-28"/>
    <s v="Elif"/>
    <x v="2"/>
    <x v="1"/>
    <n v="2"/>
    <n v="4"/>
    <x v="0"/>
    <x v="414"/>
  </r>
  <r>
    <n v="3494"/>
    <s v="2024-02-04"/>
    <s v="Lina"/>
    <x v="2"/>
    <x v="1"/>
    <n v="5"/>
    <n v="41"/>
    <x v="1"/>
    <x v="415"/>
  </r>
  <r>
    <n v="3495"/>
    <s v="2024-06-24"/>
    <s v="Jonas"/>
    <x v="0"/>
    <x v="0"/>
    <n v="5"/>
    <n v="342"/>
    <x v="2"/>
    <x v="186"/>
  </r>
  <r>
    <n v="3496"/>
    <s v="2024-06-23"/>
    <s v="Jonas"/>
    <x v="8"/>
    <x v="1"/>
    <n v="4"/>
    <n v="89"/>
    <x v="0"/>
    <x v="416"/>
  </r>
  <r>
    <n v="3497"/>
    <s v="2024-02-26"/>
    <s v="Noah"/>
    <x v="1"/>
    <x v="1"/>
    <n v="4"/>
    <n v="445"/>
    <x v="2"/>
    <x v="417"/>
  </r>
  <r>
    <n v="3498"/>
    <s v="2024-04-27"/>
    <s v="Jonas"/>
    <x v="6"/>
    <x v="0"/>
    <n v="1"/>
    <n v="320"/>
    <x v="1"/>
    <x v="418"/>
  </r>
  <r>
    <n v="3499"/>
    <s v="2024-04-15"/>
    <s v="Elif"/>
    <x v="8"/>
    <x v="1"/>
    <n v="3"/>
    <n v="124"/>
    <x v="0"/>
    <x v="148"/>
  </r>
  <r>
    <n v="3500"/>
    <s v="2024-01-04"/>
    <s v="Noah"/>
    <x v="6"/>
    <x v="0"/>
    <n v="3"/>
    <n v="275"/>
    <x v="1"/>
    <x v="4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C0871-4CFF-4D44-BCF1-6ADB9B62F6A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9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axis="axisRow" showAll="0" sortType="ascending">
      <items count="5">
        <item x="2"/>
        <item x="0"/>
        <item f="1" x="3"/>
        <item x="1"/>
        <item t="default"/>
      </items>
    </pivotField>
    <pivotField dataField="1" showAll="0">
      <items count="421">
        <item x="72"/>
        <item x="383"/>
        <item x="219"/>
        <item x="402"/>
        <item x="240"/>
        <item x="276"/>
        <item x="324"/>
        <item x="17"/>
        <item x="212"/>
        <item x="248"/>
        <item x="13"/>
        <item x="168"/>
        <item x="282"/>
        <item x="227"/>
        <item x="105"/>
        <item x="238"/>
        <item x="58"/>
        <item x="389"/>
        <item x="231"/>
        <item x="278"/>
        <item x="77"/>
        <item x="277"/>
        <item x="209"/>
        <item x="5"/>
        <item x="163"/>
        <item x="414"/>
        <item x="407"/>
        <item x="312"/>
        <item x="325"/>
        <item x="137"/>
        <item x="124"/>
        <item x="220"/>
        <item x="198"/>
        <item x="352"/>
        <item x="21"/>
        <item x="179"/>
        <item x="357"/>
        <item x="340"/>
        <item x="158"/>
        <item x="123"/>
        <item x="310"/>
        <item x="154"/>
        <item x="113"/>
        <item x="404"/>
        <item x="107"/>
        <item x="38"/>
        <item x="363"/>
        <item x="332"/>
        <item x="23"/>
        <item x="317"/>
        <item x="3"/>
        <item x="45"/>
        <item x="398"/>
        <item x="348"/>
        <item x="164"/>
        <item x="120"/>
        <item x="178"/>
        <item x="405"/>
        <item x="129"/>
        <item x="386"/>
        <item x="260"/>
        <item x="382"/>
        <item x="41"/>
        <item x="388"/>
        <item x="118"/>
        <item x="246"/>
        <item x="95"/>
        <item x="217"/>
        <item x="265"/>
        <item x="73"/>
        <item x="200"/>
        <item x="193"/>
        <item x="8"/>
        <item x="290"/>
        <item x="81"/>
        <item x="144"/>
        <item x="286"/>
        <item x="112"/>
        <item x="387"/>
        <item x="22"/>
        <item x="189"/>
        <item x="15"/>
        <item x="173"/>
        <item x="30"/>
        <item x="272"/>
        <item x="104"/>
        <item x="197"/>
        <item x="249"/>
        <item x="236"/>
        <item x="367"/>
        <item x="415"/>
        <item x="295"/>
        <item x="20"/>
        <item x="74"/>
        <item x="34"/>
        <item x="50"/>
        <item x="397"/>
        <item x="160"/>
        <item x="307"/>
        <item x="192"/>
        <item x="175"/>
        <item x="69"/>
        <item x="194"/>
        <item x="68"/>
        <item x="377"/>
        <item x="263"/>
        <item x="155"/>
        <item x="109"/>
        <item x="321"/>
        <item x="294"/>
        <item x="311"/>
        <item x="409"/>
        <item x="268"/>
        <item x="350"/>
        <item x="223"/>
        <item x="87"/>
        <item x="44"/>
        <item x="344"/>
        <item x="182"/>
        <item x="25"/>
        <item x="339"/>
        <item x="135"/>
        <item x="293"/>
        <item x="29"/>
        <item x="80"/>
        <item x="70"/>
        <item x="46"/>
        <item x="166"/>
        <item x="257"/>
        <item x="89"/>
        <item x="216"/>
        <item x="63"/>
        <item x="327"/>
        <item x="418"/>
        <item x="97"/>
        <item x="42"/>
        <item x="142"/>
        <item x="287"/>
        <item x="66"/>
        <item x="14"/>
        <item x="279"/>
        <item x="399"/>
        <item x="149"/>
        <item x="55"/>
        <item x="35"/>
        <item x="64"/>
        <item x="36"/>
        <item x="416"/>
        <item x="9"/>
        <item x="309"/>
        <item x="208"/>
        <item x="148"/>
        <item x="16"/>
        <item x="132"/>
        <item x="305"/>
        <item x="239"/>
        <item x="32"/>
        <item x="103"/>
        <item x="19"/>
        <item x="371"/>
        <item x="122"/>
        <item x="126"/>
        <item x="285"/>
        <item x="117"/>
        <item x="7"/>
        <item x="355"/>
        <item x="359"/>
        <item x="403"/>
        <item x="60"/>
        <item x="365"/>
        <item x="394"/>
        <item x="121"/>
        <item x="221"/>
        <item x="40"/>
        <item x="338"/>
        <item x="18"/>
        <item x="384"/>
        <item x="54"/>
        <item x="391"/>
        <item x="127"/>
        <item x="372"/>
        <item x="284"/>
        <item x="326"/>
        <item x="306"/>
        <item x="361"/>
        <item x="214"/>
        <item x="234"/>
        <item x="346"/>
        <item x="376"/>
        <item x="143"/>
        <item x="150"/>
        <item x="172"/>
        <item x="71"/>
        <item x="86"/>
        <item x="94"/>
        <item x="83"/>
        <item x="141"/>
        <item x="301"/>
        <item x="213"/>
        <item x="406"/>
        <item x="37"/>
        <item x="411"/>
        <item x="185"/>
        <item x="75"/>
        <item x="147"/>
        <item x="368"/>
        <item x="354"/>
        <item x="302"/>
        <item x="210"/>
        <item x="84"/>
        <item x="153"/>
        <item x="235"/>
        <item x="101"/>
        <item x="253"/>
        <item x="102"/>
        <item x="157"/>
        <item x="230"/>
        <item x="385"/>
        <item x="0"/>
        <item x="134"/>
        <item x="261"/>
        <item x="381"/>
        <item x="237"/>
        <item x="316"/>
        <item x="205"/>
        <item x="2"/>
        <item x="130"/>
        <item x="33"/>
        <item x="392"/>
        <item x="256"/>
        <item x="138"/>
        <item x="108"/>
        <item x="419"/>
        <item x="360"/>
        <item x="364"/>
        <item x="56"/>
        <item x="110"/>
        <item x="145"/>
        <item x="43"/>
        <item x="177"/>
        <item x="322"/>
        <item x="140"/>
        <item x="191"/>
        <item x="206"/>
        <item x="57"/>
        <item x="119"/>
        <item x="266"/>
        <item x="335"/>
        <item x="304"/>
        <item x="413"/>
        <item x="98"/>
        <item x="52"/>
        <item x="27"/>
        <item x="128"/>
        <item x="393"/>
        <item x="133"/>
        <item x="176"/>
        <item x="171"/>
        <item x="59"/>
        <item x="1"/>
        <item x="10"/>
        <item x="358"/>
        <item x="93"/>
        <item x="196"/>
        <item x="90"/>
        <item x="174"/>
        <item x="275"/>
        <item x="241"/>
        <item x="255"/>
        <item x="195"/>
        <item x="288"/>
        <item x="125"/>
        <item x="162"/>
        <item x="251"/>
        <item x="161"/>
        <item x="343"/>
        <item x="203"/>
        <item x="146"/>
        <item x="24"/>
        <item x="264"/>
        <item x="318"/>
        <item x="4"/>
        <item x="396"/>
        <item x="259"/>
        <item x="244"/>
        <item x="252"/>
        <item x="39"/>
        <item x="51"/>
        <item x="53"/>
        <item x="211"/>
        <item x="92"/>
        <item x="116"/>
        <item x="187"/>
        <item x="262"/>
        <item x="106"/>
        <item x="78"/>
        <item x="380"/>
        <item x="218"/>
        <item x="300"/>
        <item x="369"/>
        <item x="292"/>
        <item x="351"/>
        <item x="6"/>
        <item x="167"/>
        <item x="323"/>
        <item x="31"/>
        <item x="199"/>
        <item x="169"/>
        <item x="131"/>
        <item x="283"/>
        <item x="204"/>
        <item x="412"/>
        <item x="151"/>
        <item x="91"/>
        <item x="65"/>
        <item x="319"/>
        <item x="400"/>
        <item x="328"/>
        <item x="156"/>
        <item x="12"/>
        <item x="136"/>
        <item x="353"/>
        <item x="336"/>
        <item x="201"/>
        <item x="269"/>
        <item x="99"/>
        <item x="356"/>
        <item x="334"/>
        <item x="315"/>
        <item x="115"/>
        <item x="170"/>
        <item x="366"/>
        <item x="49"/>
        <item x="347"/>
        <item x="186"/>
        <item x="401"/>
        <item x="48"/>
        <item x="373"/>
        <item x="114"/>
        <item x="11"/>
        <item x="417"/>
        <item x="362"/>
        <item x="308"/>
        <item x="222"/>
        <item x="267"/>
        <item x="349"/>
        <item x="165"/>
        <item x="96"/>
        <item x="226"/>
        <item x="184"/>
        <item x="297"/>
        <item x="274"/>
        <item x="181"/>
        <item x="313"/>
        <item x="247"/>
        <item x="329"/>
        <item x="337"/>
        <item x="67"/>
        <item x="188"/>
        <item x="139"/>
        <item x="85"/>
        <item x="303"/>
        <item x="152"/>
        <item x="79"/>
        <item x="378"/>
        <item x="111"/>
        <item x="298"/>
        <item x="331"/>
        <item x="410"/>
        <item x="183"/>
        <item x="270"/>
        <item x="314"/>
        <item x="330"/>
        <item x="271"/>
        <item x="229"/>
        <item x="370"/>
        <item x="159"/>
        <item x="224"/>
        <item x="232"/>
        <item x="62"/>
        <item x="254"/>
        <item x="202"/>
        <item x="390"/>
        <item x="28"/>
        <item x="296"/>
        <item x="88"/>
        <item x="280"/>
        <item x="291"/>
        <item x="76"/>
        <item x="345"/>
        <item x="289"/>
        <item x="273"/>
        <item x="243"/>
        <item x="395"/>
        <item x="100"/>
        <item x="342"/>
        <item x="258"/>
        <item x="299"/>
        <item x="207"/>
        <item x="47"/>
        <item x="180"/>
        <item x="250"/>
        <item x="228"/>
        <item x="61"/>
        <item x="374"/>
        <item x="215"/>
        <item x="375"/>
        <item x="341"/>
        <item x="379"/>
        <item x="233"/>
        <item x="82"/>
        <item x="225"/>
        <item x="320"/>
        <item x="245"/>
        <item x="26"/>
        <item x="242"/>
        <item x="408"/>
        <item x="190"/>
        <item x="333"/>
        <item x="281"/>
        <item t="default"/>
      </items>
    </pivotField>
  </pivotFields>
  <rowFields count="2">
    <field x="7"/>
    <field x="4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8" baseField="0" baseItem="0"/>
    <dataField name="Sum of unit_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351C1-4EB3-4EE2-AB9E-8085A8C25FF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f="1" x="3"/>
        <item t="default"/>
      </items>
    </pivotField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70630-4C87-4416-8E4B-839A1799CA9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9">
    <pivotField showAll="0"/>
    <pivotField showAll="0"/>
    <pivotField showAll="0"/>
    <pivotField axis="axisRow" showAll="0">
      <items count="10">
        <item x="4"/>
        <item x="6"/>
        <item x="8"/>
        <item x="2"/>
        <item x="7"/>
        <item x="5"/>
        <item x="3"/>
        <item x="1"/>
        <item x="0"/>
        <item t="default"/>
      </items>
    </pivotField>
    <pivotField showAll="0"/>
    <pivotField showAll="0"/>
    <pivotField showAll="0"/>
    <pivotField showAll="0">
      <items count="5">
        <item x="2"/>
        <item x="0"/>
        <item f="1" x="3"/>
        <item x="1"/>
        <item t="default"/>
      </items>
    </pivotField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8859C-A360-42FA-9410-8E2DCF5A1390}" name="Table1" displayName="Table1" ref="A1:K501" totalsRowShown="0">
  <autoFilter ref="A1:K501" xr:uid="{2538859C-A360-42FA-9410-8E2DCF5A1390}"/>
  <tableColumns count="11">
    <tableColumn id="1" xr3:uid="{89D897E7-7C7E-4251-B752-4EC1C49D8C60}" name="order_id"/>
    <tableColumn id="2" xr3:uid="{E1207664-7A0C-47AD-AB15-5950367537CA}" name="order_date"/>
    <tableColumn id="3" xr3:uid="{EFB58915-68EE-4362-BCDB-080E1CDE2155}" name="customer"/>
    <tableColumn id="4" xr3:uid="{CAD69A89-FBAD-4143-84B5-824571F5B46C}" name="product"/>
    <tableColumn id="5" xr3:uid="{AA3C794D-46C6-4AE3-9C66-FC036EB2C13F}" name="category"/>
    <tableColumn id="6" xr3:uid="{33F99AB7-E3A7-4223-B5DD-543135790333}" name="quantity"/>
    <tableColumn id="7" xr3:uid="{D1E31CE2-7E26-4C16-8CE1-E6CBC927B95E}" name="unit_price"/>
    <tableColumn id="8" xr3:uid="{41CA97FE-5C91-4C36-B5AD-B96F0065950B}" name="region"/>
    <tableColumn id="9" xr3:uid="{1EE6BA21-3C58-4A11-A3B5-9C264F8D07A8}" name="total_revenue">
      <calculatedColumnFormula>F2*G2</calculatedColumnFormula>
    </tableColumn>
    <tableColumn id="10" xr3:uid="{264F6DFB-57AD-4E47-B354-E61D647649B2}" name="Profit" dataDxfId="2">
      <calculatedColumnFormula>Table1[[#This Row],[total_revenue]] * 0.25</calculatedColumnFormula>
    </tableColumn>
    <tableColumn id="11" xr3:uid="{84905688-8A57-44AF-BB01-4B75919F9D2F}" name="Price Band" dataDxfId="1">
      <calculatedColumnFormula>IF(Table1[[#This Row],[unit_price]]&gt;=500,"High",IF(Table1[[#This Row],[unit_price]]&gt;100,"Medium","Low"))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EDCF7-8BBA-40E3-85DA-0B0F0C1E86B3}" name="Products" displayName="Products" ref="A1:E10" totalsRowShown="0">
  <autoFilter ref="A1:E10" xr:uid="{188EDCF7-8BBA-40E3-85DA-0B0F0C1E86B3}"/>
  <tableColumns count="5">
    <tableColumn id="1" xr3:uid="{E0A4F454-042F-4D8D-A19B-0789A511F1D2}" name="Product"/>
    <tableColumn id="2" xr3:uid="{A70D00A7-2E5D-4579-B483-B4389C45F7AF}" name="Standard_price"/>
    <tableColumn id="3" xr3:uid="{67058F61-B95C-483F-8C96-BD20660FEB8C}" name="Ctegory_std"/>
    <tableColumn id="4" xr3:uid="{782C64B5-E69D-4A8C-B1F6-A1A1903D26CC}" name="Standard Price" dataDxfId="0">
      <calculatedColumnFormula array="1">Sales_Data!L1S</calculatedColumnFormula>
    </tableColumn>
    <tableColumn id="5" xr3:uid="{AAFBAC14-43D1-4E71-8968-9F7614AEA2F8}" name="Price Chec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7971-5C60-45E1-B3C6-41A5BF8620FC}">
  <dimension ref="A3:C16"/>
  <sheetViews>
    <sheetView workbookViewId="0">
      <selection activeCell="S22" sqref="S22"/>
    </sheetView>
  </sheetViews>
  <sheetFormatPr defaultRowHeight="14.25" x14ac:dyDescent="0.45"/>
  <cols>
    <col min="1" max="1" width="13" bestFit="1" customWidth="1"/>
    <col min="2" max="2" width="18.53125" bestFit="1" customWidth="1"/>
    <col min="3" max="3" width="15.19921875" bestFit="1" customWidth="1"/>
    <col min="4" max="5" width="4.33203125" bestFit="1" customWidth="1"/>
    <col min="6" max="23" width="3.33203125" bestFit="1" customWidth="1"/>
    <col min="24" max="24" width="2.33203125" bestFit="1" customWidth="1"/>
    <col min="25" max="27" width="1.73046875" bestFit="1" customWidth="1"/>
    <col min="28" max="54" width="2.73046875" bestFit="1" customWidth="1"/>
    <col min="55" max="268" width="3.73046875" bestFit="1" customWidth="1"/>
    <col min="269" max="421" width="4.73046875" bestFit="1" customWidth="1"/>
    <col min="422" max="422" width="10.19921875" bestFit="1" customWidth="1"/>
  </cols>
  <sheetData>
    <row r="3" spans="1:3" x14ac:dyDescent="0.45">
      <c r="A3" s="2" t="s">
        <v>208</v>
      </c>
      <c r="B3" t="s">
        <v>210</v>
      </c>
      <c r="C3" t="s">
        <v>211</v>
      </c>
    </row>
    <row r="4" spans="1:3" x14ac:dyDescent="0.45">
      <c r="A4" s="3" t="s">
        <v>25</v>
      </c>
      <c r="B4">
        <v>159824</v>
      </c>
      <c r="C4">
        <v>45133</v>
      </c>
    </row>
    <row r="5" spans="1:3" x14ac:dyDescent="0.45">
      <c r="A5" s="4" t="s">
        <v>17</v>
      </c>
      <c r="B5">
        <v>95021</v>
      </c>
      <c r="C5">
        <v>28912</v>
      </c>
    </row>
    <row r="6" spans="1:3" x14ac:dyDescent="0.45">
      <c r="A6" s="4" t="s">
        <v>12</v>
      </c>
      <c r="B6">
        <v>64803</v>
      </c>
      <c r="C6">
        <v>16221</v>
      </c>
    </row>
    <row r="7" spans="1:3" x14ac:dyDescent="0.45">
      <c r="A7" s="3" t="s">
        <v>13</v>
      </c>
      <c r="B7">
        <v>163744</v>
      </c>
      <c r="C7">
        <v>48352</v>
      </c>
    </row>
    <row r="8" spans="1:3" x14ac:dyDescent="0.45">
      <c r="A8" s="4" t="s">
        <v>17</v>
      </c>
      <c r="B8">
        <v>112050</v>
      </c>
      <c r="C8">
        <v>32728</v>
      </c>
    </row>
    <row r="9" spans="1:3" x14ac:dyDescent="0.45">
      <c r="A9" s="4" t="s">
        <v>12</v>
      </c>
      <c r="B9">
        <v>51694</v>
      </c>
      <c r="C9">
        <v>15624</v>
      </c>
    </row>
    <row r="10" spans="1:3" x14ac:dyDescent="0.45">
      <c r="A10" s="3" t="s">
        <v>223</v>
      </c>
      <c r="B10">
        <v>0</v>
      </c>
      <c r="C10">
        <v>0</v>
      </c>
    </row>
    <row r="11" spans="1:3" x14ac:dyDescent="0.45">
      <c r="A11" s="4" t="s">
        <v>17</v>
      </c>
      <c r="B11">
        <v>0</v>
      </c>
      <c r="C11">
        <v>0</v>
      </c>
    </row>
    <row r="12" spans="1:3" x14ac:dyDescent="0.45">
      <c r="A12" s="4" t="s">
        <v>12</v>
      </c>
      <c r="B12">
        <v>0</v>
      </c>
      <c r="C12">
        <v>0</v>
      </c>
    </row>
    <row r="13" spans="1:3" x14ac:dyDescent="0.45">
      <c r="A13" s="3" t="s">
        <v>20</v>
      </c>
      <c r="B13">
        <v>148495</v>
      </c>
      <c r="C13">
        <v>39501</v>
      </c>
    </row>
    <row r="14" spans="1:3" x14ac:dyDescent="0.45">
      <c r="A14" s="4" t="s">
        <v>17</v>
      </c>
      <c r="B14">
        <v>100556</v>
      </c>
      <c r="C14">
        <v>25905</v>
      </c>
    </row>
    <row r="15" spans="1:3" x14ac:dyDescent="0.45">
      <c r="A15" s="4" t="s">
        <v>12</v>
      </c>
      <c r="B15">
        <v>47939</v>
      </c>
      <c r="C15">
        <v>13596</v>
      </c>
    </row>
    <row r="16" spans="1:3" x14ac:dyDescent="0.45">
      <c r="A16" s="3" t="s">
        <v>209</v>
      </c>
      <c r="B16">
        <v>472063</v>
      </c>
      <c r="C16">
        <v>132986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A7B9-BAC5-4A97-8945-A357014E7DB2}">
  <dimension ref="A3:B8"/>
  <sheetViews>
    <sheetView workbookViewId="0">
      <selection activeCell="B6" sqref="B6"/>
    </sheetView>
  </sheetViews>
  <sheetFormatPr defaultRowHeight="14.25" x14ac:dyDescent="0.45"/>
  <cols>
    <col min="1" max="1" width="12.06640625" bestFit="1" customWidth="1"/>
    <col min="2" max="2" width="18.53125" bestFit="1" customWidth="1"/>
  </cols>
  <sheetData>
    <row r="3" spans="1:2" x14ac:dyDescent="0.45">
      <c r="A3" s="2" t="s">
        <v>208</v>
      </c>
      <c r="B3" t="s">
        <v>210</v>
      </c>
    </row>
    <row r="4" spans="1:2" x14ac:dyDescent="0.45">
      <c r="A4" s="3" t="s">
        <v>25</v>
      </c>
      <c r="B4">
        <v>159824</v>
      </c>
    </row>
    <row r="5" spans="1:2" x14ac:dyDescent="0.45">
      <c r="A5" s="3" t="s">
        <v>13</v>
      </c>
      <c r="B5">
        <v>163744</v>
      </c>
    </row>
    <row r="6" spans="1:2" x14ac:dyDescent="0.45">
      <c r="A6" s="3" t="s">
        <v>20</v>
      </c>
      <c r="B6">
        <v>148495</v>
      </c>
    </row>
    <row r="7" spans="1:2" x14ac:dyDescent="0.45">
      <c r="A7" s="3" t="s">
        <v>223</v>
      </c>
      <c r="B7">
        <v>0</v>
      </c>
    </row>
    <row r="8" spans="1:2" x14ac:dyDescent="0.45">
      <c r="A8" s="3" t="s">
        <v>209</v>
      </c>
      <c r="B8">
        <v>472063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CD3E-81AB-4699-BFF1-291EB3D46D52}">
  <dimension ref="A3:B13"/>
  <sheetViews>
    <sheetView tabSelected="1" workbookViewId="0">
      <selection activeCell="A3" sqref="A3"/>
    </sheetView>
  </sheetViews>
  <sheetFormatPr defaultRowHeight="14.25" x14ac:dyDescent="0.45"/>
  <cols>
    <col min="1" max="1" width="12.06640625" bestFit="1" customWidth="1"/>
    <col min="2" max="2" width="18.53125" bestFit="1" customWidth="1"/>
  </cols>
  <sheetData>
    <row r="3" spans="1:2" x14ac:dyDescent="0.45">
      <c r="A3" s="2" t="s">
        <v>208</v>
      </c>
      <c r="B3" t="s">
        <v>210</v>
      </c>
    </row>
    <row r="4" spans="1:2" x14ac:dyDescent="0.45">
      <c r="A4" s="3" t="s">
        <v>36</v>
      </c>
      <c r="B4">
        <v>21243</v>
      </c>
    </row>
    <row r="5" spans="1:2" x14ac:dyDescent="0.45">
      <c r="A5" s="3" t="s">
        <v>41</v>
      </c>
      <c r="B5">
        <v>69347</v>
      </c>
    </row>
    <row r="6" spans="1:2" x14ac:dyDescent="0.45">
      <c r="A6" s="3" t="s">
        <v>65</v>
      </c>
      <c r="B6">
        <v>16638</v>
      </c>
    </row>
    <row r="7" spans="1:2" x14ac:dyDescent="0.45">
      <c r="A7" s="3" t="s">
        <v>22</v>
      </c>
      <c r="B7">
        <v>7485</v>
      </c>
    </row>
    <row r="8" spans="1:2" x14ac:dyDescent="0.45">
      <c r="A8" s="3" t="s">
        <v>56</v>
      </c>
      <c r="B8">
        <v>150407</v>
      </c>
    </row>
    <row r="9" spans="1:2" x14ac:dyDescent="0.45">
      <c r="A9" s="3" t="s">
        <v>38</v>
      </c>
      <c r="B9">
        <v>40906</v>
      </c>
    </row>
    <row r="10" spans="1:2" x14ac:dyDescent="0.45">
      <c r="A10" s="3" t="s">
        <v>28</v>
      </c>
      <c r="B10">
        <v>4869</v>
      </c>
    </row>
    <row r="11" spans="1:2" x14ac:dyDescent="0.45">
      <c r="A11" s="3" t="s">
        <v>16</v>
      </c>
      <c r="B11">
        <v>87322</v>
      </c>
    </row>
    <row r="12" spans="1:2" x14ac:dyDescent="0.45">
      <c r="A12" s="3" t="s">
        <v>11</v>
      </c>
      <c r="B12">
        <v>73846</v>
      </c>
    </row>
    <row r="13" spans="1:2" x14ac:dyDescent="0.45">
      <c r="A13" s="3" t="s">
        <v>209</v>
      </c>
      <c r="B13">
        <v>472063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opLeftCell="A2" workbookViewId="0">
      <selection activeCell="F12" sqref="F12"/>
    </sheetView>
  </sheetViews>
  <sheetFormatPr defaultRowHeight="14.25" x14ac:dyDescent="0.45"/>
  <cols>
    <col min="1" max="1" width="9.53125" customWidth="1"/>
    <col min="2" max="2" width="11.6640625" customWidth="1"/>
    <col min="3" max="3" width="10.265625" customWidth="1"/>
    <col min="5" max="5" width="9.59765625" customWidth="1"/>
    <col min="6" max="6" width="9.46484375" customWidth="1"/>
    <col min="7" max="7" width="10.796875" customWidth="1"/>
    <col min="9" max="9" width="14.06640625" customWidth="1"/>
    <col min="10" max="10" width="11.53125" customWidth="1"/>
    <col min="12" max="12" width="9.066406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212</v>
      </c>
      <c r="K1" t="s">
        <v>213</v>
      </c>
    </row>
    <row r="2" spans="1:11" x14ac:dyDescent="0.45">
      <c r="A2">
        <v>3001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373</v>
      </c>
      <c r="H2" t="s">
        <v>13</v>
      </c>
      <c r="I2">
        <f>F2*G2</f>
        <v>746</v>
      </c>
      <c r="J2">
        <f>Table1[[#This Row],[total_revenue]] * 0.25</f>
        <v>186.5</v>
      </c>
      <c r="K2" t="str">
        <f>IF(Table1[[#This Row],[unit_price]]&gt;=500,"High",IF(Table1[[#This Row],[unit_price]]&gt;100,"Medium","Low"))</f>
        <v>Medium</v>
      </c>
    </row>
    <row r="3" spans="1:11" x14ac:dyDescent="0.45">
      <c r="A3">
        <v>3002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>
        <v>469</v>
      </c>
      <c r="H3" t="s">
        <v>13</v>
      </c>
      <c r="I3">
        <f t="shared" ref="I3:I65" si="0">F3*G3</f>
        <v>938</v>
      </c>
      <c r="J3">
        <f>Table1[[#This Row],[total_revenue]] * 0.25</f>
        <v>234.5</v>
      </c>
      <c r="K3" t="str">
        <f>IF(Table1[[#This Row],[unit_price]]&gt;=500,"High",IF(Table1[[#This Row],[unit_price]]&gt;100,"Medium","Low"))</f>
        <v>Medium</v>
      </c>
    </row>
    <row r="4" spans="1:11" x14ac:dyDescent="0.45">
      <c r="A4">
        <v>3003</v>
      </c>
      <c r="B4" t="s">
        <v>18</v>
      </c>
      <c r="C4" t="s">
        <v>19</v>
      </c>
      <c r="D4" t="s">
        <v>11</v>
      </c>
      <c r="E4" t="s">
        <v>12</v>
      </c>
      <c r="F4">
        <v>2</v>
      </c>
      <c r="G4">
        <v>397</v>
      </c>
      <c r="H4" t="s">
        <v>20</v>
      </c>
      <c r="I4">
        <f t="shared" si="0"/>
        <v>794</v>
      </c>
      <c r="J4">
        <f>Table1[[#This Row],[total_revenue]] * 0.25</f>
        <v>198.5</v>
      </c>
      <c r="K4" t="str">
        <f>IF(Table1[[#This Row],[unit_price]]&gt;=500,"High",IF(Table1[[#This Row],[unit_price]]&gt;100,"Medium","Low"))</f>
        <v>Medium</v>
      </c>
    </row>
    <row r="5" spans="1:11" x14ac:dyDescent="0.45">
      <c r="A5">
        <v>3004</v>
      </c>
      <c r="B5" t="s">
        <v>21</v>
      </c>
      <c r="C5" t="s">
        <v>15</v>
      </c>
      <c r="D5" t="s">
        <v>22</v>
      </c>
      <c r="E5" t="s">
        <v>17</v>
      </c>
      <c r="F5">
        <v>4</v>
      </c>
      <c r="G5">
        <v>22</v>
      </c>
      <c r="H5" t="s">
        <v>13</v>
      </c>
      <c r="I5">
        <f t="shared" si="0"/>
        <v>88</v>
      </c>
      <c r="J5">
        <f>Table1[[#This Row],[total_revenue]] * 0.25</f>
        <v>22</v>
      </c>
      <c r="K5" t="str">
        <f>IF(Table1[[#This Row],[unit_price]]&gt;=500,"High",IF(Table1[[#This Row],[unit_price]]&gt;100,"Medium","Low"))</f>
        <v>Low</v>
      </c>
    </row>
    <row r="6" spans="1:11" x14ac:dyDescent="0.45">
      <c r="A6">
        <v>3005</v>
      </c>
      <c r="B6" t="s">
        <v>23</v>
      </c>
      <c r="C6" t="s">
        <v>24</v>
      </c>
      <c r="D6" t="s">
        <v>11</v>
      </c>
      <c r="E6" t="s">
        <v>12</v>
      </c>
      <c r="F6">
        <v>3</v>
      </c>
      <c r="G6">
        <v>391</v>
      </c>
      <c r="H6" t="s">
        <v>25</v>
      </c>
      <c r="I6">
        <f t="shared" si="0"/>
        <v>1173</v>
      </c>
      <c r="J6">
        <f>Table1[[#This Row],[total_revenue]] * 0.25</f>
        <v>293.25</v>
      </c>
      <c r="K6" t="str">
        <f>IF(Table1[[#This Row],[unit_price]]&gt;=500,"High",IF(Table1[[#This Row],[unit_price]]&gt;100,"Medium","Low"))</f>
        <v>Medium</v>
      </c>
    </row>
    <row r="7" spans="1:11" x14ac:dyDescent="0.45">
      <c r="A7">
        <v>3006</v>
      </c>
      <c r="B7" t="s">
        <v>26</v>
      </c>
      <c r="C7" t="s">
        <v>27</v>
      </c>
      <c r="D7" t="s">
        <v>28</v>
      </c>
      <c r="E7" t="s">
        <v>17</v>
      </c>
      <c r="F7">
        <v>1</v>
      </c>
      <c r="G7">
        <v>0</v>
      </c>
      <c r="H7" t="s">
        <v>20</v>
      </c>
      <c r="I7">
        <f t="shared" si="0"/>
        <v>0</v>
      </c>
      <c r="J7">
        <f>Table1[[#This Row],[total_revenue]] * 0.25</f>
        <v>0</v>
      </c>
      <c r="K7" t="str">
        <f>IF(Table1[[#This Row],[unit_price]]&gt;=500,"High",IF(Table1[[#This Row],[unit_price]]&gt;100,"Medium","Low"))</f>
        <v>Low</v>
      </c>
    </row>
    <row r="8" spans="1:11" x14ac:dyDescent="0.45">
      <c r="A8">
        <v>3007</v>
      </c>
      <c r="B8" t="s">
        <v>29</v>
      </c>
      <c r="C8" t="s">
        <v>30</v>
      </c>
      <c r="D8" t="s">
        <v>16</v>
      </c>
      <c r="E8" t="s">
        <v>17</v>
      </c>
      <c r="F8">
        <v>3</v>
      </c>
      <c r="G8">
        <v>454</v>
      </c>
      <c r="H8" t="s">
        <v>20</v>
      </c>
      <c r="I8">
        <f t="shared" si="0"/>
        <v>1362</v>
      </c>
      <c r="J8">
        <f>Table1[[#This Row],[total_revenue]] * 0.25</f>
        <v>340.5</v>
      </c>
      <c r="K8" t="str">
        <f>IF(Table1[[#This Row],[unit_price]]&gt;=500,"High",IF(Table1[[#This Row],[unit_price]]&gt;100,"Medium","Low"))</f>
        <v>Medium</v>
      </c>
    </row>
    <row r="9" spans="1:11" x14ac:dyDescent="0.45">
      <c r="A9">
        <v>3008</v>
      </c>
      <c r="B9" t="s">
        <v>31</v>
      </c>
      <c r="C9" t="s">
        <v>32</v>
      </c>
      <c r="D9" t="s">
        <v>16</v>
      </c>
      <c r="E9" t="s">
        <v>17</v>
      </c>
      <c r="F9">
        <v>1</v>
      </c>
      <c r="G9">
        <v>409</v>
      </c>
      <c r="H9" t="s">
        <v>25</v>
      </c>
      <c r="I9">
        <f t="shared" si="0"/>
        <v>409</v>
      </c>
      <c r="J9">
        <f>Table1[[#This Row],[total_revenue]] * 0.25</f>
        <v>102.25</v>
      </c>
      <c r="K9" t="str">
        <f>IF(Table1[[#This Row],[unit_price]]&gt;=500,"High",IF(Table1[[#This Row],[unit_price]]&gt;100,"Medium","Low"))</f>
        <v>Medium</v>
      </c>
    </row>
    <row r="10" spans="1:11" x14ac:dyDescent="0.45">
      <c r="A10">
        <v>3009</v>
      </c>
      <c r="B10" t="s">
        <v>33</v>
      </c>
      <c r="C10" t="s">
        <v>32</v>
      </c>
      <c r="D10" t="s">
        <v>22</v>
      </c>
      <c r="E10" t="s">
        <v>17</v>
      </c>
      <c r="F10">
        <v>3</v>
      </c>
      <c r="G10">
        <v>49</v>
      </c>
      <c r="H10" t="s">
        <v>13</v>
      </c>
      <c r="I10">
        <f t="shared" si="0"/>
        <v>147</v>
      </c>
      <c r="J10">
        <f>Table1[[#This Row],[total_revenue]] * 0.25</f>
        <v>36.75</v>
      </c>
      <c r="K10" t="str">
        <f>IF(Table1[[#This Row],[unit_price]]&gt;=500,"High",IF(Table1[[#This Row],[unit_price]]&gt;100,"Medium","Low"))</f>
        <v>Low</v>
      </c>
    </row>
    <row r="11" spans="1:11" x14ac:dyDescent="0.45">
      <c r="A11">
        <v>3010</v>
      </c>
      <c r="B11" t="s">
        <v>34</v>
      </c>
      <c r="C11" t="s">
        <v>35</v>
      </c>
      <c r="D11" t="s">
        <v>36</v>
      </c>
      <c r="E11" t="s">
        <v>12</v>
      </c>
      <c r="F11">
        <v>6</v>
      </c>
      <c r="G11">
        <v>60</v>
      </c>
      <c r="H11" t="s">
        <v>25</v>
      </c>
      <c r="I11">
        <f t="shared" si="0"/>
        <v>360</v>
      </c>
      <c r="J11">
        <f>Table1[[#This Row],[total_revenue]] * 0.25</f>
        <v>90</v>
      </c>
      <c r="K11" t="str">
        <f>IF(Table1[[#This Row],[unit_price]]&gt;=500,"High",IF(Table1[[#This Row],[unit_price]]&gt;100,"Medium","Low"))</f>
        <v>Low</v>
      </c>
    </row>
    <row r="12" spans="1:11" x14ac:dyDescent="0.45">
      <c r="A12">
        <v>3011</v>
      </c>
      <c r="B12" t="s">
        <v>37</v>
      </c>
      <c r="C12" t="s">
        <v>15</v>
      </c>
      <c r="D12" t="s">
        <v>38</v>
      </c>
      <c r="E12" t="s">
        <v>17</v>
      </c>
      <c r="F12">
        <v>6</v>
      </c>
      <c r="G12">
        <v>157</v>
      </c>
      <c r="H12" t="s">
        <v>25</v>
      </c>
      <c r="I12">
        <f t="shared" si="0"/>
        <v>942</v>
      </c>
      <c r="J12">
        <f>Table1[[#This Row],[total_revenue]] * 0.25</f>
        <v>235.5</v>
      </c>
      <c r="K12" t="str">
        <f>IF(Table1[[#This Row],[unit_price]]&gt;=500,"High",IF(Table1[[#This Row],[unit_price]]&gt;100,"Medium","Low"))</f>
        <v>Medium</v>
      </c>
    </row>
    <row r="13" spans="1:11" x14ac:dyDescent="0.45">
      <c r="A13">
        <v>3012</v>
      </c>
      <c r="B13" t="s">
        <v>39</v>
      </c>
      <c r="C13" t="s">
        <v>32</v>
      </c>
      <c r="D13" t="s">
        <v>16</v>
      </c>
      <c r="E13" t="s">
        <v>17</v>
      </c>
      <c r="F13">
        <v>4</v>
      </c>
      <c r="G13">
        <v>444</v>
      </c>
      <c r="H13" t="s">
        <v>25</v>
      </c>
      <c r="I13">
        <f t="shared" si="0"/>
        <v>1776</v>
      </c>
      <c r="J13">
        <f>Table1[[#This Row],[total_revenue]] * 0.25</f>
        <v>444</v>
      </c>
      <c r="K13" t="str">
        <f>IF(Table1[[#This Row],[unit_price]]&gt;=500,"High",IF(Table1[[#This Row],[unit_price]]&gt;100,"Medium","Low"))</f>
        <v>Medium</v>
      </c>
    </row>
    <row r="14" spans="1:11" x14ac:dyDescent="0.45">
      <c r="A14">
        <v>3013</v>
      </c>
      <c r="B14" t="s">
        <v>40</v>
      </c>
      <c r="C14" t="s">
        <v>19</v>
      </c>
      <c r="D14" t="s">
        <v>41</v>
      </c>
      <c r="E14" t="s">
        <v>12</v>
      </c>
      <c r="F14">
        <v>6</v>
      </c>
      <c r="G14">
        <v>256</v>
      </c>
      <c r="H14" t="s">
        <v>25</v>
      </c>
      <c r="I14">
        <f t="shared" si="0"/>
        <v>1536</v>
      </c>
      <c r="J14">
        <f>Table1[[#This Row],[total_revenue]] * 0.25</f>
        <v>384</v>
      </c>
      <c r="K14" t="str">
        <f>IF(Table1[[#This Row],[unit_price]]&gt;=500,"High",IF(Table1[[#This Row],[unit_price]]&gt;100,"Medium","Low"))</f>
        <v>Medium</v>
      </c>
    </row>
    <row r="15" spans="1:11" x14ac:dyDescent="0.45">
      <c r="A15">
        <v>3014</v>
      </c>
      <c r="B15" t="s">
        <v>42</v>
      </c>
      <c r="C15" t="s">
        <v>43</v>
      </c>
      <c r="D15" t="s">
        <v>28</v>
      </c>
      <c r="E15" t="s">
        <v>17</v>
      </c>
      <c r="F15">
        <v>6</v>
      </c>
      <c r="G15">
        <v>-6</v>
      </c>
      <c r="H15" t="s">
        <v>25</v>
      </c>
      <c r="I15">
        <f t="shared" si="0"/>
        <v>-36</v>
      </c>
      <c r="J15">
        <f>Table1[[#This Row],[total_revenue]] * 0.25</f>
        <v>-9</v>
      </c>
      <c r="K15" t="str">
        <f>IF(Table1[[#This Row],[unit_price]]&gt;=500,"High",IF(Table1[[#This Row],[unit_price]]&gt;100,"Medium","Low"))</f>
        <v>Low</v>
      </c>
    </row>
    <row r="16" spans="1:11" x14ac:dyDescent="0.45">
      <c r="A16">
        <v>3015</v>
      </c>
      <c r="B16" t="s">
        <v>18</v>
      </c>
      <c r="C16" t="s">
        <v>32</v>
      </c>
      <c r="D16" t="s">
        <v>36</v>
      </c>
      <c r="E16" t="s">
        <v>12</v>
      </c>
      <c r="F16">
        <v>3</v>
      </c>
      <c r="G16">
        <v>111</v>
      </c>
      <c r="H16" t="s">
        <v>13</v>
      </c>
      <c r="I16">
        <f t="shared" si="0"/>
        <v>333</v>
      </c>
      <c r="J16">
        <f>Table1[[#This Row],[total_revenue]] * 0.25</f>
        <v>83.25</v>
      </c>
      <c r="K16" t="str">
        <f>IF(Table1[[#This Row],[unit_price]]&gt;=500,"High",IF(Table1[[#This Row],[unit_price]]&gt;100,"Medium","Low"))</f>
        <v>Medium</v>
      </c>
    </row>
    <row r="17" spans="1:11" x14ac:dyDescent="0.45">
      <c r="A17">
        <v>3016</v>
      </c>
      <c r="B17" t="s">
        <v>44</v>
      </c>
      <c r="C17" t="s">
        <v>19</v>
      </c>
      <c r="D17" t="s">
        <v>22</v>
      </c>
      <c r="E17" t="s">
        <v>17</v>
      </c>
      <c r="F17">
        <v>4</v>
      </c>
      <c r="G17">
        <v>44</v>
      </c>
      <c r="H17" t="s">
        <v>13</v>
      </c>
      <c r="I17">
        <f t="shared" si="0"/>
        <v>176</v>
      </c>
      <c r="J17">
        <f>Table1[[#This Row],[total_revenue]] * 0.25</f>
        <v>44</v>
      </c>
      <c r="K17" t="str">
        <f>IF(Table1[[#This Row],[unit_price]]&gt;=500,"High",IF(Table1[[#This Row],[unit_price]]&gt;100,"Medium","Low"))</f>
        <v>Low</v>
      </c>
    </row>
    <row r="18" spans="1:11" x14ac:dyDescent="0.45">
      <c r="A18">
        <v>3017</v>
      </c>
      <c r="B18" t="s">
        <v>45</v>
      </c>
      <c r="C18" t="s">
        <v>15</v>
      </c>
      <c r="D18" t="s">
        <v>11</v>
      </c>
      <c r="E18" t="s">
        <v>12</v>
      </c>
      <c r="F18">
        <v>1</v>
      </c>
      <c r="G18">
        <v>373</v>
      </c>
      <c r="H18" t="s">
        <v>13</v>
      </c>
      <c r="I18">
        <f t="shared" si="0"/>
        <v>373</v>
      </c>
      <c r="J18">
        <f>Table1[[#This Row],[total_revenue]] * 0.25</f>
        <v>93.25</v>
      </c>
      <c r="K18" t="str">
        <f>IF(Table1[[#This Row],[unit_price]]&gt;=500,"High",IF(Table1[[#This Row],[unit_price]]&gt;100,"Medium","Low"))</f>
        <v>Medium</v>
      </c>
    </row>
    <row r="19" spans="1:11" x14ac:dyDescent="0.45">
      <c r="A19">
        <v>3018</v>
      </c>
      <c r="B19" t="s">
        <v>14</v>
      </c>
      <c r="C19" t="s">
        <v>27</v>
      </c>
      <c r="D19" t="s">
        <v>28</v>
      </c>
      <c r="E19" t="s">
        <v>17</v>
      </c>
      <c r="F19">
        <v>5</v>
      </c>
      <c r="G19">
        <v>-13</v>
      </c>
      <c r="H19" t="s">
        <v>20</v>
      </c>
      <c r="I19">
        <f t="shared" si="0"/>
        <v>-65</v>
      </c>
      <c r="J19">
        <f>Table1[[#This Row],[total_revenue]] * 0.25</f>
        <v>-16.25</v>
      </c>
      <c r="K19" t="str">
        <f>IF(Table1[[#This Row],[unit_price]]&gt;=500,"High",IF(Table1[[#This Row],[unit_price]]&gt;100,"Medium","Low"))</f>
        <v>Low</v>
      </c>
    </row>
    <row r="20" spans="1:11" x14ac:dyDescent="0.45">
      <c r="A20">
        <v>3019</v>
      </c>
      <c r="B20" t="s">
        <v>46</v>
      </c>
      <c r="C20" t="s">
        <v>32</v>
      </c>
      <c r="D20" t="s">
        <v>38</v>
      </c>
      <c r="E20" t="s">
        <v>17</v>
      </c>
      <c r="F20">
        <v>2</v>
      </c>
      <c r="G20">
        <v>231</v>
      </c>
      <c r="H20" t="s">
        <v>20</v>
      </c>
      <c r="I20">
        <f t="shared" si="0"/>
        <v>462</v>
      </c>
      <c r="J20">
        <f>Table1[[#This Row],[total_revenue]] * 0.25</f>
        <v>115.5</v>
      </c>
      <c r="K20" t="str">
        <f>IF(Table1[[#This Row],[unit_price]]&gt;=500,"High",IF(Table1[[#This Row],[unit_price]]&gt;100,"Medium","Low"))</f>
        <v>Medium</v>
      </c>
    </row>
    <row r="21" spans="1:11" x14ac:dyDescent="0.45">
      <c r="A21">
        <v>3020</v>
      </c>
      <c r="B21" t="s">
        <v>47</v>
      </c>
      <c r="C21" t="s">
        <v>27</v>
      </c>
      <c r="D21" t="s">
        <v>36</v>
      </c>
      <c r="E21" t="s">
        <v>12</v>
      </c>
      <c r="F21">
        <v>5</v>
      </c>
      <c r="G21">
        <v>79</v>
      </c>
      <c r="H21" t="s">
        <v>20</v>
      </c>
      <c r="I21">
        <f t="shared" si="0"/>
        <v>395</v>
      </c>
      <c r="J21">
        <f>Table1[[#This Row],[total_revenue]] * 0.25</f>
        <v>98.75</v>
      </c>
      <c r="K21" t="str">
        <f>IF(Table1[[#This Row],[unit_price]]&gt;=500,"High",IF(Table1[[#This Row],[unit_price]]&gt;100,"Medium","Low"))</f>
        <v>Low</v>
      </c>
    </row>
    <row r="22" spans="1:11" x14ac:dyDescent="0.45">
      <c r="A22">
        <v>3021</v>
      </c>
      <c r="B22" t="s">
        <v>48</v>
      </c>
      <c r="C22" t="s">
        <v>24</v>
      </c>
      <c r="D22" t="s">
        <v>36</v>
      </c>
      <c r="E22" t="s">
        <v>12</v>
      </c>
      <c r="F22">
        <v>2</v>
      </c>
      <c r="G22">
        <v>104</v>
      </c>
      <c r="H22" t="s">
        <v>25</v>
      </c>
      <c r="I22">
        <f t="shared" si="0"/>
        <v>208</v>
      </c>
      <c r="J22">
        <f>Table1[[#This Row],[total_revenue]] * 0.25</f>
        <v>52</v>
      </c>
      <c r="K22" t="str">
        <f>IF(Table1[[#This Row],[unit_price]]&gt;=500,"High",IF(Table1[[#This Row],[unit_price]]&gt;100,"Medium","Low"))</f>
        <v>Medium</v>
      </c>
    </row>
    <row r="23" spans="1:11" x14ac:dyDescent="0.45">
      <c r="A23">
        <v>3022</v>
      </c>
      <c r="B23" t="s">
        <v>49</v>
      </c>
      <c r="C23" t="s">
        <v>27</v>
      </c>
      <c r="D23" t="s">
        <v>22</v>
      </c>
      <c r="E23" t="s">
        <v>17</v>
      </c>
      <c r="F23">
        <v>2</v>
      </c>
      <c r="G23">
        <v>17</v>
      </c>
      <c r="H23" t="s">
        <v>25</v>
      </c>
      <c r="I23">
        <f t="shared" si="0"/>
        <v>34</v>
      </c>
      <c r="J23">
        <f>Table1[[#This Row],[total_revenue]] * 0.25</f>
        <v>8.5</v>
      </c>
      <c r="K23" t="str">
        <f>IF(Table1[[#This Row],[unit_price]]&gt;=500,"High",IF(Table1[[#This Row],[unit_price]]&gt;100,"Medium","Low"))</f>
        <v>Low</v>
      </c>
    </row>
    <row r="24" spans="1:11" x14ac:dyDescent="0.45">
      <c r="A24">
        <v>3023</v>
      </c>
      <c r="B24" t="s">
        <v>50</v>
      </c>
      <c r="C24" t="s">
        <v>24</v>
      </c>
      <c r="D24" t="s">
        <v>22</v>
      </c>
      <c r="E24" t="s">
        <v>17</v>
      </c>
      <c r="F24">
        <v>6</v>
      </c>
      <c r="G24">
        <v>29</v>
      </c>
      <c r="H24" t="s">
        <v>20</v>
      </c>
      <c r="I24">
        <f t="shared" si="0"/>
        <v>174</v>
      </c>
      <c r="J24">
        <f>Table1[[#This Row],[total_revenue]] * 0.25</f>
        <v>43.5</v>
      </c>
      <c r="K24" t="str">
        <f>IF(Table1[[#This Row],[unit_price]]&gt;=500,"High",IF(Table1[[#This Row],[unit_price]]&gt;100,"Medium","Low"))</f>
        <v>Low</v>
      </c>
    </row>
    <row r="25" spans="1:11" x14ac:dyDescent="0.45">
      <c r="A25">
        <v>3024</v>
      </c>
      <c r="B25" t="s">
        <v>51</v>
      </c>
      <c r="C25" t="s">
        <v>52</v>
      </c>
      <c r="D25" t="s">
        <v>28</v>
      </c>
      <c r="E25" t="s">
        <v>17</v>
      </c>
      <c r="F25">
        <v>1</v>
      </c>
      <c r="G25">
        <v>72</v>
      </c>
      <c r="H25" t="s">
        <v>25</v>
      </c>
      <c r="I25">
        <f t="shared" si="0"/>
        <v>72</v>
      </c>
      <c r="J25">
        <f>Table1[[#This Row],[total_revenue]] * 0.25</f>
        <v>18</v>
      </c>
      <c r="K25" t="str">
        <f>IF(Table1[[#This Row],[unit_price]]&gt;=500,"High",IF(Table1[[#This Row],[unit_price]]&gt;100,"Medium","Low"))</f>
        <v>Low</v>
      </c>
    </row>
    <row r="26" spans="1:11" x14ac:dyDescent="0.45">
      <c r="A26">
        <v>3025</v>
      </c>
      <c r="B26" t="s">
        <v>53</v>
      </c>
      <c r="C26" t="s">
        <v>35</v>
      </c>
      <c r="D26" t="s">
        <v>41</v>
      </c>
      <c r="E26" t="s">
        <v>12</v>
      </c>
      <c r="F26">
        <v>4</v>
      </c>
      <c r="G26">
        <v>285</v>
      </c>
      <c r="H26" t="s">
        <v>13</v>
      </c>
      <c r="I26">
        <f t="shared" si="0"/>
        <v>1140</v>
      </c>
      <c r="J26">
        <f>Table1[[#This Row],[total_revenue]] * 0.25</f>
        <v>285</v>
      </c>
      <c r="K26" t="str">
        <f>IF(Table1[[#This Row],[unit_price]]&gt;=500,"High",IF(Table1[[#This Row],[unit_price]]&gt;100,"Medium","Low"))</f>
        <v>Medium</v>
      </c>
    </row>
    <row r="27" spans="1:11" x14ac:dyDescent="0.45">
      <c r="A27">
        <v>3026</v>
      </c>
      <c r="B27" t="s">
        <v>54</v>
      </c>
      <c r="C27" t="s">
        <v>52</v>
      </c>
      <c r="D27" t="s">
        <v>28</v>
      </c>
      <c r="E27" t="s">
        <v>17</v>
      </c>
      <c r="F27">
        <v>6</v>
      </c>
      <c r="G27">
        <v>46</v>
      </c>
      <c r="H27" t="s">
        <v>20</v>
      </c>
      <c r="I27">
        <f t="shared" si="0"/>
        <v>276</v>
      </c>
      <c r="J27">
        <f>Table1[[#This Row],[total_revenue]] * 0.25</f>
        <v>69</v>
      </c>
      <c r="K27" t="str">
        <f>IF(Table1[[#This Row],[unit_price]]&gt;=500,"High",IF(Table1[[#This Row],[unit_price]]&gt;100,"Medium","Low"))</f>
        <v>Low</v>
      </c>
    </row>
    <row r="28" spans="1:11" x14ac:dyDescent="0.45">
      <c r="A28">
        <v>3027</v>
      </c>
      <c r="B28" t="s">
        <v>55</v>
      </c>
      <c r="C28" t="s">
        <v>30</v>
      </c>
      <c r="D28" t="s">
        <v>56</v>
      </c>
      <c r="E28" t="s">
        <v>17</v>
      </c>
      <c r="F28">
        <v>6</v>
      </c>
      <c r="G28">
        <v>872</v>
      </c>
      <c r="H28" t="s">
        <v>13</v>
      </c>
      <c r="I28">
        <f t="shared" si="0"/>
        <v>5232</v>
      </c>
      <c r="J28">
        <f>Table1[[#This Row],[total_revenue]] * 0.25</f>
        <v>1308</v>
      </c>
      <c r="K28" t="str">
        <f>IF(Table1[[#This Row],[unit_price]]&gt;=500,"High",IF(Table1[[#This Row],[unit_price]]&gt;100,"Medium","Low"))</f>
        <v>High</v>
      </c>
    </row>
    <row r="29" spans="1:11" x14ac:dyDescent="0.45">
      <c r="A29">
        <v>3028</v>
      </c>
      <c r="B29" t="s">
        <v>57</v>
      </c>
      <c r="C29" t="s">
        <v>52</v>
      </c>
      <c r="D29" t="s">
        <v>56</v>
      </c>
      <c r="E29" t="s">
        <v>17</v>
      </c>
      <c r="F29">
        <v>1</v>
      </c>
      <c r="G29">
        <v>918</v>
      </c>
      <c r="H29" t="s">
        <v>13</v>
      </c>
      <c r="I29">
        <f t="shared" si="0"/>
        <v>918</v>
      </c>
      <c r="J29">
        <f>Table1[[#This Row],[total_revenue]] * 0.25</f>
        <v>229.5</v>
      </c>
      <c r="K29" t="str">
        <f>IF(Table1[[#This Row],[unit_price]]&gt;=500,"High",IF(Table1[[#This Row],[unit_price]]&gt;100,"Medium","Low"))</f>
        <v>High</v>
      </c>
    </row>
    <row r="30" spans="1:11" x14ac:dyDescent="0.45">
      <c r="A30">
        <v>3029</v>
      </c>
      <c r="B30" t="s">
        <v>29</v>
      </c>
      <c r="C30" t="s">
        <v>10</v>
      </c>
      <c r="D30" t="s">
        <v>56</v>
      </c>
      <c r="E30" t="s">
        <v>17</v>
      </c>
      <c r="F30">
        <v>3</v>
      </c>
      <c r="G30">
        <v>879</v>
      </c>
      <c r="H30" t="s">
        <v>25</v>
      </c>
      <c r="I30">
        <f t="shared" si="0"/>
        <v>2637</v>
      </c>
      <c r="J30">
        <f>Table1[[#This Row],[total_revenue]] * 0.25</f>
        <v>659.25</v>
      </c>
      <c r="K30" t="str">
        <f>IF(Table1[[#This Row],[unit_price]]&gt;=500,"High",IF(Table1[[#This Row],[unit_price]]&gt;100,"Medium","Low"))</f>
        <v>High</v>
      </c>
    </row>
    <row r="31" spans="1:11" x14ac:dyDescent="0.45">
      <c r="A31">
        <v>3030</v>
      </c>
      <c r="B31" t="s">
        <v>58</v>
      </c>
      <c r="C31" t="s">
        <v>59</v>
      </c>
      <c r="D31" t="s">
        <v>41</v>
      </c>
      <c r="E31" t="s">
        <v>12</v>
      </c>
      <c r="F31">
        <v>1</v>
      </c>
      <c r="G31">
        <v>289</v>
      </c>
      <c r="H31" t="s">
        <v>13</v>
      </c>
      <c r="I31">
        <f t="shared" si="0"/>
        <v>289</v>
      </c>
      <c r="J31">
        <f>Table1[[#This Row],[total_revenue]] * 0.25</f>
        <v>72.25</v>
      </c>
      <c r="K31" t="str">
        <f>IF(Table1[[#This Row],[unit_price]]&gt;=500,"High",IF(Table1[[#This Row],[unit_price]]&gt;100,"Medium","Low"))</f>
        <v>Medium</v>
      </c>
    </row>
    <row r="32" spans="1:11" x14ac:dyDescent="0.45">
      <c r="A32">
        <v>3031</v>
      </c>
      <c r="B32" t="s">
        <v>34</v>
      </c>
      <c r="C32" t="s">
        <v>24</v>
      </c>
      <c r="D32" t="s">
        <v>22</v>
      </c>
      <c r="E32" t="s">
        <v>17</v>
      </c>
      <c r="F32">
        <v>3</v>
      </c>
      <c r="G32">
        <v>62</v>
      </c>
      <c r="H32" t="s">
        <v>20</v>
      </c>
      <c r="I32">
        <f t="shared" si="0"/>
        <v>186</v>
      </c>
      <c r="J32">
        <f>Table1[[#This Row],[total_revenue]] * 0.25</f>
        <v>46.5</v>
      </c>
      <c r="K32" t="str">
        <f>IF(Table1[[#This Row],[unit_price]]&gt;=500,"High",IF(Table1[[#This Row],[unit_price]]&gt;100,"Medium","Low"))</f>
        <v>Low</v>
      </c>
    </row>
    <row r="33" spans="1:11" x14ac:dyDescent="0.45">
      <c r="A33">
        <v>3032</v>
      </c>
      <c r="B33" t="s">
        <v>60</v>
      </c>
      <c r="C33" t="s">
        <v>61</v>
      </c>
      <c r="D33" t="s">
        <v>41</v>
      </c>
      <c r="E33" t="s">
        <v>12</v>
      </c>
      <c r="F33">
        <v>5</v>
      </c>
      <c r="G33">
        <v>275</v>
      </c>
      <c r="H33" t="s">
        <v>20</v>
      </c>
      <c r="I33">
        <f t="shared" si="0"/>
        <v>1375</v>
      </c>
      <c r="J33">
        <f>Table1[[#This Row],[total_revenue]] * 0.25</f>
        <v>343.75</v>
      </c>
      <c r="K33" t="str">
        <f>IF(Table1[[#This Row],[unit_price]]&gt;=500,"High",IF(Table1[[#This Row],[unit_price]]&gt;100,"Medium","Low"))</f>
        <v>Medium</v>
      </c>
    </row>
    <row r="34" spans="1:11" x14ac:dyDescent="0.45">
      <c r="A34">
        <v>3033</v>
      </c>
      <c r="B34" t="s">
        <v>62</v>
      </c>
      <c r="C34" t="s">
        <v>59</v>
      </c>
      <c r="D34" t="s">
        <v>22</v>
      </c>
      <c r="E34" t="s">
        <v>17</v>
      </c>
      <c r="F34">
        <v>5</v>
      </c>
      <c r="G34">
        <v>77</v>
      </c>
      <c r="H34" t="s">
        <v>25</v>
      </c>
      <c r="I34">
        <f t="shared" si="0"/>
        <v>385</v>
      </c>
      <c r="J34">
        <f>Table1[[#This Row],[total_revenue]] * 0.25</f>
        <v>96.25</v>
      </c>
      <c r="K34" t="str">
        <f>IF(Table1[[#This Row],[unit_price]]&gt;=500,"High",IF(Table1[[#This Row],[unit_price]]&gt;100,"Medium","Low"))</f>
        <v>Low</v>
      </c>
    </row>
    <row r="35" spans="1:11" x14ac:dyDescent="0.45">
      <c r="A35">
        <v>3034</v>
      </c>
      <c r="B35" t="s">
        <v>63</v>
      </c>
      <c r="C35" t="s">
        <v>24</v>
      </c>
      <c r="D35" t="s">
        <v>16</v>
      </c>
      <c r="E35" t="s">
        <v>17</v>
      </c>
      <c r="F35">
        <v>2</v>
      </c>
      <c r="G35">
        <v>404</v>
      </c>
      <c r="H35" t="s">
        <v>13</v>
      </c>
      <c r="I35">
        <f t="shared" si="0"/>
        <v>808</v>
      </c>
      <c r="J35">
        <f>Table1[[#This Row],[total_revenue]] * 0.25</f>
        <v>202</v>
      </c>
      <c r="K35" t="str">
        <f>IF(Table1[[#This Row],[unit_price]]&gt;=500,"High",IF(Table1[[#This Row],[unit_price]]&gt;100,"Medium","Low"))</f>
        <v>Medium</v>
      </c>
    </row>
    <row r="36" spans="1:11" x14ac:dyDescent="0.45">
      <c r="A36">
        <v>3035</v>
      </c>
      <c r="B36" t="s">
        <v>9</v>
      </c>
      <c r="C36" t="s">
        <v>24</v>
      </c>
      <c r="D36" t="s">
        <v>22</v>
      </c>
      <c r="E36" t="s">
        <v>17</v>
      </c>
      <c r="F36">
        <v>4</v>
      </c>
      <c r="G36">
        <v>53</v>
      </c>
      <c r="H36" t="s">
        <v>25</v>
      </c>
      <c r="I36">
        <f t="shared" si="0"/>
        <v>212</v>
      </c>
      <c r="J36">
        <f>Table1[[#This Row],[total_revenue]] * 0.25</f>
        <v>53</v>
      </c>
      <c r="K36" t="str">
        <f>IF(Table1[[#This Row],[unit_price]]&gt;=500,"High",IF(Table1[[#This Row],[unit_price]]&gt;100,"Medium","Low"))</f>
        <v>Low</v>
      </c>
    </row>
    <row r="37" spans="1:11" x14ac:dyDescent="0.45">
      <c r="A37">
        <v>3036</v>
      </c>
      <c r="B37" t="s">
        <v>64</v>
      </c>
      <c r="C37" t="s">
        <v>52</v>
      </c>
      <c r="D37" t="s">
        <v>65</v>
      </c>
      <c r="E37" t="s">
        <v>17</v>
      </c>
      <c r="F37">
        <v>3</v>
      </c>
      <c r="G37">
        <v>116</v>
      </c>
      <c r="H37" t="s">
        <v>25</v>
      </c>
      <c r="I37">
        <f t="shared" si="0"/>
        <v>348</v>
      </c>
      <c r="J37">
        <f>Table1[[#This Row],[total_revenue]] * 0.25</f>
        <v>87</v>
      </c>
      <c r="K37" t="str">
        <f>IF(Table1[[#This Row],[unit_price]]&gt;=500,"High",IF(Table1[[#This Row],[unit_price]]&gt;100,"Medium","Low"))</f>
        <v>Medium</v>
      </c>
    </row>
    <row r="38" spans="1:11" x14ac:dyDescent="0.45">
      <c r="A38">
        <v>3037</v>
      </c>
      <c r="B38" t="s">
        <v>66</v>
      </c>
      <c r="C38" t="s">
        <v>32</v>
      </c>
      <c r="D38" t="s">
        <v>22</v>
      </c>
      <c r="E38" t="s">
        <v>17</v>
      </c>
      <c r="F38">
        <v>5</v>
      </c>
      <c r="G38">
        <v>71</v>
      </c>
      <c r="H38" t="s">
        <v>20</v>
      </c>
      <c r="I38">
        <f t="shared" si="0"/>
        <v>355</v>
      </c>
      <c r="J38">
        <f>Table1[[#This Row],[total_revenue]] * 0.25</f>
        <v>88.75</v>
      </c>
      <c r="K38" t="str">
        <f>IF(Table1[[#This Row],[unit_price]]&gt;=500,"High",IF(Table1[[#This Row],[unit_price]]&gt;100,"Medium","Low"))</f>
        <v>Low</v>
      </c>
    </row>
    <row r="39" spans="1:11" x14ac:dyDescent="0.45">
      <c r="A39">
        <v>3038</v>
      </c>
      <c r="B39" t="s">
        <v>67</v>
      </c>
      <c r="C39" t="s">
        <v>52</v>
      </c>
      <c r="D39" t="s">
        <v>36</v>
      </c>
      <c r="E39" t="s">
        <v>12</v>
      </c>
      <c r="F39">
        <v>6</v>
      </c>
      <c r="G39">
        <v>97</v>
      </c>
      <c r="H39" t="s">
        <v>25</v>
      </c>
      <c r="I39">
        <f t="shared" si="0"/>
        <v>582</v>
      </c>
      <c r="J39">
        <f>Table1[[#This Row],[total_revenue]] * 0.25</f>
        <v>145.5</v>
      </c>
      <c r="K39" t="str">
        <f>IF(Table1[[#This Row],[unit_price]]&gt;=500,"High",IF(Table1[[#This Row],[unit_price]]&gt;100,"Medium","Low"))</f>
        <v>Low</v>
      </c>
    </row>
    <row r="40" spans="1:11" x14ac:dyDescent="0.45">
      <c r="A40">
        <v>3039</v>
      </c>
      <c r="B40" t="s">
        <v>68</v>
      </c>
      <c r="C40" t="s">
        <v>43</v>
      </c>
      <c r="D40" t="s">
        <v>65</v>
      </c>
      <c r="E40" t="s">
        <v>17</v>
      </c>
      <c r="F40">
        <v>1</v>
      </c>
      <c r="G40">
        <v>61</v>
      </c>
      <c r="H40" t="s">
        <v>25</v>
      </c>
      <c r="I40">
        <f t="shared" si="0"/>
        <v>61</v>
      </c>
      <c r="J40">
        <f>Table1[[#This Row],[total_revenue]] * 0.25</f>
        <v>15.25</v>
      </c>
      <c r="K40" t="str">
        <f>IF(Table1[[#This Row],[unit_price]]&gt;=500,"High",IF(Table1[[#This Row],[unit_price]]&gt;100,"Medium","Low"))</f>
        <v>Low</v>
      </c>
    </row>
    <row r="41" spans="1:11" x14ac:dyDescent="0.45">
      <c r="A41">
        <v>3040</v>
      </c>
      <c r="B41" t="s">
        <v>69</v>
      </c>
      <c r="C41" t="s">
        <v>19</v>
      </c>
      <c r="D41" t="s">
        <v>16</v>
      </c>
      <c r="E41" t="s">
        <v>17</v>
      </c>
      <c r="F41">
        <v>3</v>
      </c>
      <c r="G41">
        <v>411</v>
      </c>
      <c r="H41" t="s">
        <v>13</v>
      </c>
      <c r="I41">
        <f t="shared" si="0"/>
        <v>1233</v>
      </c>
      <c r="J41">
        <f>Table1[[#This Row],[total_revenue]] * 0.25</f>
        <v>308.25</v>
      </c>
      <c r="K41" t="str">
        <f>IF(Table1[[#This Row],[unit_price]]&gt;=500,"High",IF(Table1[[#This Row],[unit_price]]&gt;100,"Medium","Low"))</f>
        <v>Medium</v>
      </c>
    </row>
    <row r="42" spans="1:11" x14ac:dyDescent="0.45">
      <c r="A42">
        <v>3041</v>
      </c>
      <c r="B42" t="s">
        <v>51</v>
      </c>
      <c r="C42" t="s">
        <v>52</v>
      </c>
      <c r="D42" t="s">
        <v>65</v>
      </c>
      <c r="E42" t="s">
        <v>17</v>
      </c>
      <c r="F42">
        <v>5</v>
      </c>
      <c r="G42">
        <v>90</v>
      </c>
      <c r="H42" t="s">
        <v>13</v>
      </c>
      <c r="I42">
        <f t="shared" si="0"/>
        <v>450</v>
      </c>
      <c r="J42">
        <f>Table1[[#This Row],[total_revenue]] * 0.25</f>
        <v>112.5</v>
      </c>
      <c r="K42" t="str">
        <f>IF(Table1[[#This Row],[unit_price]]&gt;=500,"High",IF(Table1[[#This Row],[unit_price]]&gt;100,"Medium","Low"))</f>
        <v>Low</v>
      </c>
    </row>
    <row r="43" spans="1:11" x14ac:dyDescent="0.45">
      <c r="A43">
        <v>3042</v>
      </c>
      <c r="B43" t="s">
        <v>70</v>
      </c>
      <c r="C43" t="s">
        <v>43</v>
      </c>
      <c r="D43" t="s">
        <v>22</v>
      </c>
      <c r="E43" t="s">
        <v>17</v>
      </c>
      <c r="F43">
        <v>2</v>
      </c>
      <c r="G43">
        <v>58</v>
      </c>
      <c r="H43" t="s">
        <v>13</v>
      </c>
      <c r="I43">
        <f t="shared" si="0"/>
        <v>116</v>
      </c>
      <c r="J43">
        <f>Table1[[#This Row],[total_revenue]] * 0.25</f>
        <v>29</v>
      </c>
      <c r="K43" t="str">
        <f>IF(Table1[[#This Row],[unit_price]]&gt;=500,"High",IF(Table1[[#This Row],[unit_price]]&gt;100,"Medium","Low"))</f>
        <v>Low</v>
      </c>
    </row>
    <row r="44" spans="1:11" x14ac:dyDescent="0.45">
      <c r="A44">
        <v>3043</v>
      </c>
      <c r="B44" t="s">
        <v>71</v>
      </c>
      <c r="C44" t="s">
        <v>43</v>
      </c>
      <c r="D44" t="s">
        <v>36</v>
      </c>
      <c r="E44" t="s">
        <v>12</v>
      </c>
      <c r="F44">
        <v>3</v>
      </c>
      <c r="G44">
        <v>108</v>
      </c>
      <c r="H44" t="s">
        <v>25</v>
      </c>
      <c r="I44">
        <f t="shared" si="0"/>
        <v>324</v>
      </c>
      <c r="J44">
        <f>Table1[[#This Row],[total_revenue]] * 0.25</f>
        <v>81</v>
      </c>
      <c r="K44" t="str">
        <f>IF(Table1[[#This Row],[unit_price]]&gt;=500,"High",IF(Table1[[#This Row],[unit_price]]&gt;100,"Medium","Low"))</f>
        <v>Medium</v>
      </c>
    </row>
    <row r="45" spans="1:11" x14ac:dyDescent="0.45">
      <c r="A45">
        <v>3044</v>
      </c>
      <c r="B45" t="s">
        <v>72</v>
      </c>
      <c r="C45" t="s">
        <v>43</v>
      </c>
      <c r="D45" t="s">
        <v>56</v>
      </c>
      <c r="E45" t="s">
        <v>17</v>
      </c>
      <c r="F45">
        <v>1</v>
      </c>
      <c r="G45">
        <v>855</v>
      </c>
      <c r="H45" t="s">
        <v>25</v>
      </c>
      <c r="I45">
        <f t="shared" si="0"/>
        <v>855</v>
      </c>
      <c r="J45">
        <f>Table1[[#This Row],[total_revenue]] * 0.25</f>
        <v>213.75</v>
      </c>
      <c r="K45" t="str">
        <f>IF(Table1[[#This Row],[unit_price]]&gt;=500,"High",IF(Table1[[#This Row],[unit_price]]&gt;100,"Medium","Low"))</f>
        <v>High</v>
      </c>
    </row>
    <row r="46" spans="1:11" x14ac:dyDescent="0.45">
      <c r="A46">
        <v>3045</v>
      </c>
      <c r="B46" t="s">
        <v>73</v>
      </c>
      <c r="C46" t="s">
        <v>15</v>
      </c>
      <c r="D46" t="s">
        <v>41</v>
      </c>
      <c r="E46" t="s">
        <v>12</v>
      </c>
      <c r="F46">
        <v>1</v>
      </c>
      <c r="G46">
        <v>267</v>
      </c>
      <c r="H46" t="s">
        <v>20</v>
      </c>
      <c r="I46">
        <f t="shared" si="0"/>
        <v>267</v>
      </c>
      <c r="J46">
        <f>Table1[[#This Row],[total_revenue]] * 0.25</f>
        <v>66.75</v>
      </c>
      <c r="K46" t="str">
        <f>IF(Table1[[#This Row],[unit_price]]&gt;=500,"High",IF(Table1[[#This Row],[unit_price]]&gt;100,"Medium","Low"))</f>
        <v>Medium</v>
      </c>
    </row>
    <row r="47" spans="1:11" x14ac:dyDescent="0.45">
      <c r="A47">
        <v>3046</v>
      </c>
      <c r="B47" t="s">
        <v>74</v>
      </c>
      <c r="C47" t="s">
        <v>32</v>
      </c>
      <c r="D47" t="s">
        <v>65</v>
      </c>
      <c r="E47" t="s">
        <v>17</v>
      </c>
      <c r="F47">
        <v>1</v>
      </c>
      <c r="G47">
        <v>90</v>
      </c>
      <c r="H47" t="s">
        <v>25</v>
      </c>
      <c r="I47">
        <f t="shared" si="0"/>
        <v>90</v>
      </c>
      <c r="J47">
        <f>Table1[[#This Row],[total_revenue]] * 0.25</f>
        <v>22.5</v>
      </c>
      <c r="K47" t="str">
        <f>IF(Table1[[#This Row],[unit_price]]&gt;=500,"High",IF(Table1[[#This Row],[unit_price]]&gt;100,"Medium","Low"))</f>
        <v>Low</v>
      </c>
    </row>
    <row r="48" spans="1:11" x14ac:dyDescent="0.45">
      <c r="A48">
        <v>3047</v>
      </c>
      <c r="B48" t="s">
        <v>75</v>
      </c>
      <c r="C48" t="s">
        <v>15</v>
      </c>
      <c r="D48" t="s">
        <v>22</v>
      </c>
      <c r="E48" t="s">
        <v>17</v>
      </c>
      <c r="F48">
        <v>4</v>
      </c>
      <c r="G48">
        <v>74</v>
      </c>
      <c r="H48" t="s">
        <v>20</v>
      </c>
      <c r="I48">
        <f t="shared" si="0"/>
        <v>296</v>
      </c>
      <c r="J48">
        <f>Table1[[#This Row],[total_revenue]] * 0.25</f>
        <v>74</v>
      </c>
      <c r="K48" t="str">
        <f>IF(Table1[[#This Row],[unit_price]]&gt;=500,"High",IF(Table1[[#This Row],[unit_price]]&gt;100,"Medium","Low"))</f>
        <v>Low</v>
      </c>
    </row>
    <row r="49" spans="1:11" x14ac:dyDescent="0.45">
      <c r="A49">
        <v>3048</v>
      </c>
      <c r="B49" t="s">
        <v>76</v>
      </c>
      <c r="C49" t="s">
        <v>24</v>
      </c>
      <c r="D49" t="s">
        <v>38</v>
      </c>
      <c r="E49" t="s">
        <v>17</v>
      </c>
      <c r="F49">
        <v>4</v>
      </c>
      <c r="G49">
        <v>202</v>
      </c>
      <c r="H49" t="s">
        <v>20</v>
      </c>
      <c r="I49">
        <f t="shared" si="0"/>
        <v>808</v>
      </c>
      <c r="J49">
        <f>Table1[[#This Row],[total_revenue]] * 0.25</f>
        <v>202</v>
      </c>
      <c r="K49" t="str">
        <f>IF(Table1[[#This Row],[unit_price]]&gt;=500,"High",IF(Table1[[#This Row],[unit_price]]&gt;100,"Medium","Low"))</f>
        <v>Medium</v>
      </c>
    </row>
    <row r="50" spans="1:11" x14ac:dyDescent="0.45">
      <c r="A50">
        <v>3049</v>
      </c>
      <c r="B50" t="s">
        <v>77</v>
      </c>
      <c r="C50" t="s">
        <v>61</v>
      </c>
      <c r="D50" t="s">
        <v>56</v>
      </c>
      <c r="E50" t="s">
        <v>17</v>
      </c>
      <c r="F50">
        <v>4</v>
      </c>
      <c r="G50">
        <v>882</v>
      </c>
      <c r="H50" t="s">
        <v>25</v>
      </c>
      <c r="I50">
        <f t="shared" si="0"/>
        <v>3528</v>
      </c>
      <c r="J50">
        <f>Table1[[#This Row],[total_revenue]] * 0.25</f>
        <v>882</v>
      </c>
      <c r="K50" t="str">
        <f>IF(Table1[[#This Row],[unit_price]]&gt;=500,"High",IF(Table1[[#This Row],[unit_price]]&gt;100,"Medium","Low"))</f>
        <v>High</v>
      </c>
    </row>
    <row r="51" spans="1:11" x14ac:dyDescent="0.45">
      <c r="A51">
        <v>3050</v>
      </c>
      <c r="B51" t="s">
        <v>74</v>
      </c>
      <c r="C51" t="s">
        <v>61</v>
      </c>
      <c r="D51" t="s">
        <v>56</v>
      </c>
      <c r="E51" t="s">
        <v>17</v>
      </c>
      <c r="F51">
        <v>2</v>
      </c>
      <c r="G51">
        <v>861</v>
      </c>
      <c r="H51" t="s">
        <v>25</v>
      </c>
      <c r="I51">
        <f t="shared" si="0"/>
        <v>1722</v>
      </c>
      <c r="J51">
        <f>Table1[[#This Row],[total_revenue]] * 0.25</f>
        <v>430.5</v>
      </c>
      <c r="K51" t="str">
        <f>IF(Table1[[#This Row],[unit_price]]&gt;=500,"High",IF(Table1[[#This Row],[unit_price]]&gt;100,"Medium","Low"))</f>
        <v>High</v>
      </c>
    </row>
    <row r="52" spans="1:11" x14ac:dyDescent="0.45">
      <c r="A52">
        <v>3051</v>
      </c>
      <c r="B52" t="s">
        <v>63</v>
      </c>
      <c r="C52" t="s">
        <v>15</v>
      </c>
      <c r="D52" t="s">
        <v>56</v>
      </c>
      <c r="E52" t="s">
        <v>17</v>
      </c>
      <c r="F52">
        <v>2</v>
      </c>
      <c r="G52">
        <v>851</v>
      </c>
      <c r="H52" t="s">
        <v>25</v>
      </c>
      <c r="I52">
        <f t="shared" si="0"/>
        <v>1702</v>
      </c>
      <c r="J52">
        <f>Table1[[#This Row],[total_revenue]] * 0.25</f>
        <v>425.5</v>
      </c>
      <c r="K52" t="str">
        <f>IF(Table1[[#This Row],[unit_price]]&gt;=500,"High",IF(Table1[[#This Row],[unit_price]]&gt;100,"Medium","Low"))</f>
        <v>High</v>
      </c>
    </row>
    <row r="53" spans="1:11" x14ac:dyDescent="0.45">
      <c r="A53">
        <v>3052</v>
      </c>
      <c r="B53" t="s">
        <v>33</v>
      </c>
      <c r="C53" t="s">
        <v>10</v>
      </c>
      <c r="D53" t="s">
        <v>28</v>
      </c>
      <c r="E53" t="s">
        <v>17</v>
      </c>
      <c r="F53">
        <v>3</v>
      </c>
      <c r="G53">
        <v>71</v>
      </c>
      <c r="H53" t="s">
        <v>13</v>
      </c>
      <c r="I53">
        <f t="shared" si="0"/>
        <v>213</v>
      </c>
      <c r="J53">
        <f>Table1[[#This Row],[total_revenue]] * 0.25</f>
        <v>53.25</v>
      </c>
      <c r="K53" t="str">
        <f>IF(Table1[[#This Row],[unit_price]]&gt;=500,"High",IF(Table1[[#This Row],[unit_price]]&gt;100,"Medium","Low"))</f>
        <v>Low</v>
      </c>
    </row>
    <row r="54" spans="1:11" x14ac:dyDescent="0.45">
      <c r="A54">
        <v>3053</v>
      </c>
      <c r="B54" t="s">
        <v>78</v>
      </c>
      <c r="C54" t="s">
        <v>15</v>
      </c>
      <c r="D54" t="s">
        <v>41</v>
      </c>
      <c r="E54" t="s">
        <v>12</v>
      </c>
      <c r="F54">
        <v>4</v>
      </c>
      <c r="G54">
        <v>309</v>
      </c>
      <c r="H54" t="s">
        <v>13</v>
      </c>
      <c r="I54">
        <f t="shared" si="0"/>
        <v>1236</v>
      </c>
      <c r="J54">
        <f>Table1[[#This Row],[total_revenue]] * 0.25</f>
        <v>309</v>
      </c>
      <c r="K54" t="str">
        <f>IF(Table1[[#This Row],[unit_price]]&gt;=500,"High",IF(Table1[[#This Row],[unit_price]]&gt;100,"Medium","Low"))</f>
        <v>Medium</v>
      </c>
    </row>
    <row r="55" spans="1:11" x14ac:dyDescent="0.45">
      <c r="A55">
        <v>3054</v>
      </c>
      <c r="B55" t="s">
        <v>31</v>
      </c>
      <c r="C55" t="s">
        <v>27</v>
      </c>
      <c r="D55" t="s">
        <v>38</v>
      </c>
      <c r="E55" t="s">
        <v>17</v>
      </c>
      <c r="F55">
        <v>5</v>
      </c>
      <c r="G55">
        <v>183</v>
      </c>
      <c r="H55" t="s">
        <v>13</v>
      </c>
      <c r="I55">
        <f t="shared" si="0"/>
        <v>915</v>
      </c>
      <c r="J55">
        <f>Table1[[#This Row],[total_revenue]] * 0.25</f>
        <v>228.75</v>
      </c>
      <c r="K55" t="str">
        <f>IF(Table1[[#This Row],[unit_price]]&gt;=500,"High",IF(Table1[[#This Row],[unit_price]]&gt;100,"Medium","Low"))</f>
        <v>Medium</v>
      </c>
    </row>
    <row r="56" spans="1:11" x14ac:dyDescent="0.45">
      <c r="A56">
        <v>3055</v>
      </c>
      <c r="B56" t="s">
        <v>66</v>
      </c>
      <c r="C56" t="s">
        <v>30</v>
      </c>
      <c r="D56" t="s">
        <v>41</v>
      </c>
      <c r="E56" t="s">
        <v>12</v>
      </c>
      <c r="F56">
        <v>4</v>
      </c>
      <c r="G56">
        <v>310</v>
      </c>
      <c r="H56" t="s">
        <v>13</v>
      </c>
      <c r="I56">
        <f t="shared" si="0"/>
        <v>1240</v>
      </c>
      <c r="J56">
        <f>Table1[[#This Row],[total_revenue]] * 0.25</f>
        <v>310</v>
      </c>
      <c r="K56" t="str">
        <f>IF(Table1[[#This Row],[unit_price]]&gt;=500,"High",IF(Table1[[#This Row],[unit_price]]&gt;100,"Medium","Low"))</f>
        <v>Medium</v>
      </c>
    </row>
    <row r="57" spans="1:11" x14ac:dyDescent="0.45">
      <c r="A57">
        <v>3056</v>
      </c>
      <c r="B57" t="s">
        <v>79</v>
      </c>
      <c r="C57" t="s">
        <v>61</v>
      </c>
      <c r="D57" t="s">
        <v>36</v>
      </c>
      <c r="E57" t="s">
        <v>12</v>
      </c>
      <c r="F57">
        <v>5</v>
      </c>
      <c r="G57">
        <v>94</v>
      </c>
      <c r="H57" t="s">
        <v>13</v>
      </c>
      <c r="I57">
        <f t="shared" si="0"/>
        <v>470</v>
      </c>
      <c r="J57">
        <f>Table1[[#This Row],[total_revenue]] * 0.25</f>
        <v>117.5</v>
      </c>
      <c r="K57" t="str">
        <f>IF(Table1[[#This Row],[unit_price]]&gt;=500,"High",IF(Table1[[#This Row],[unit_price]]&gt;100,"Medium","Low"))</f>
        <v>Low</v>
      </c>
    </row>
    <row r="58" spans="1:11" x14ac:dyDescent="0.45">
      <c r="A58">
        <v>3057</v>
      </c>
      <c r="B58" t="s">
        <v>80</v>
      </c>
      <c r="C58" t="s">
        <v>10</v>
      </c>
      <c r="D58" t="s">
        <v>41</v>
      </c>
      <c r="E58" t="s">
        <v>12</v>
      </c>
      <c r="F58">
        <v>1</v>
      </c>
      <c r="G58">
        <v>347</v>
      </c>
      <c r="H58" t="s">
        <v>20</v>
      </c>
      <c r="I58">
        <f t="shared" si="0"/>
        <v>347</v>
      </c>
      <c r="J58">
        <f>Table1[[#This Row],[total_revenue]] * 0.25</f>
        <v>86.75</v>
      </c>
      <c r="K58" t="str">
        <f>IF(Table1[[#This Row],[unit_price]]&gt;=500,"High",IF(Table1[[#This Row],[unit_price]]&gt;100,"Medium","Low"))</f>
        <v>Medium</v>
      </c>
    </row>
    <row r="59" spans="1:11" x14ac:dyDescent="0.45">
      <c r="A59">
        <v>3058</v>
      </c>
      <c r="B59" t="s">
        <v>81</v>
      </c>
      <c r="C59" t="s">
        <v>30</v>
      </c>
      <c r="D59" t="s">
        <v>38</v>
      </c>
      <c r="E59" t="s">
        <v>17</v>
      </c>
      <c r="F59">
        <v>4</v>
      </c>
      <c r="G59">
        <v>210</v>
      </c>
      <c r="H59" t="s">
        <v>20</v>
      </c>
      <c r="I59">
        <f t="shared" si="0"/>
        <v>840</v>
      </c>
      <c r="J59">
        <f>Table1[[#This Row],[total_revenue]] * 0.25</f>
        <v>210</v>
      </c>
      <c r="K59" t="str">
        <f>IF(Table1[[#This Row],[unit_price]]&gt;=500,"High",IF(Table1[[#This Row],[unit_price]]&gt;100,"Medium","Low"))</f>
        <v>Medium</v>
      </c>
    </row>
    <row r="60" spans="1:11" x14ac:dyDescent="0.45">
      <c r="A60">
        <v>3059</v>
      </c>
      <c r="B60" t="s">
        <v>74</v>
      </c>
      <c r="C60" t="s">
        <v>43</v>
      </c>
      <c r="D60" t="s">
        <v>36</v>
      </c>
      <c r="E60" t="s">
        <v>12</v>
      </c>
      <c r="F60">
        <v>6</v>
      </c>
      <c r="G60">
        <v>146</v>
      </c>
      <c r="H60" t="s">
        <v>13</v>
      </c>
      <c r="I60">
        <f t="shared" si="0"/>
        <v>876</v>
      </c>
      <c r="J60">
        <f>Table1[[#This Row],[total_revenue]] * 0.25</f>
        <v>219</v>
      </c>
      <c r="K60" t="str">
        <f>IF(Table1[[#This Row],[unit_price]]&gt;=500,"High",IF(Table1[[#This Row],[unit_price]]&gt;100,"Medium","Low"))</f>
        <v>Medium</v>
      </c>
    </row>
    <row r="61" spans="1:11" x14ac:dyDescent="0.45">
      <c r="A61">
        <v>3060</v>
      </c>
      <c r="B61" t="s">
        <v>82</v>
      </c>
      <c r="C61" t="s">
        <v>32</v>
      </c>
      <c r="D61" t="s">
        <v>22</v>
      </c>
      <c r="E61" t="s">
        <v>17</v>
      </c>
      <c r="F61">
        <v>2</v>
      </c>
      <c r="G61">
        <v>-9</v>
      </c>
      <c r="H61" t="s">
        <v>25</v>
      </c>
      <c r="I61">
        <f t="shared" si="0"/>
        <v>-18</v>
      </c>
      <c r="J61">
        <f>Table1[[#This Row],[total_revenue]] * 0.25</f>
        <v>-4.5</v>
      </c>
      <c r="K61" t="str">
        <f>IF(Table1[[#This Row],[unit_price]]&gt;=500,"High",IF(Table1[[#This Row],[unit_price]]&gt;100,"Medium","Low"))</f>
        <v>Low</v>
      </c>
    </row>
    <row r="62" spans="1:11" x14ac:dyDescent="0.45">
      <c r="A62">
        <v>3061</v>
      </c>
      <c r="B62" t="s">
        <v>83</v>
      </c>
      <c r="C62" t="s">
        <v>32</v>
      </c>
      <c r="D62" t="s">
        <v>11</v>
      </c>
      <c r="E62" t="s">
        <v>12</v>
      </c>
      <c r="F62">
        <v>3</v>
      </c>
      <c r="G62">
        <v>311</v>
      </c>
      <c r="H62" t="s">
        <v>25</v>
      </c>
      <c r="I62">
        <f t="shared" si="0"/>
        <v>933</v>
      </c>
      <c r="J62">
        <f>Table1[[#This Row],[total_revenue]] * 0.25</f>
        <v>233.25</v>
      </c>
      <c r="K62" t="str">
        <f>IF(Table1[[#This Row],[unit_price]]&gt;=500,"High",IF(Table1[[#This Row],[unit_price]]&gt;100,"Medium","Low"))</f>
        <v>Medium</v>
      </c>
    </row>
    <row r="63" spans="1:11" x14ac:dyDescent="0.45">
      <c r="A63">
        <v>3062</v>
      </c>
      <c r="B63" t="s">
        <v>84</v>
      </c>
      <c r="C63" t="s">
        <v>24</v>
      </c>
      <c r="D63" t="s">
        <v>16</v>
      </c>
      <c r="E63" t="s">
        <v>17</v>
      </c>
      <c r="F63">
        <v>1</v>
      </c>
      <c r="G63">
        <v>425</v>
      </c>
      <c r="H63" t="s">
        <v>13</v>
      </c>
      <c r="I63">
        <f t="shared" si="0"/>
        <v>425</v>
      </c>
      <c r="J63">
        <f>Table1[[#This Row],[total_revenue]] * 0.25</f>
        <v>106.25</v>
      </c>
      <c r="K63" t="str">
        <f>IF(Table1[[#This Row],[unit_price]]&gt;=500,"High",IF(Table1[[#This Row],[unit_price]]&gt;100,"Medium","Low"))</f>
        <v>Medium</v>
      </c>
    </row>
    <row r="64" spans="1:11" x14ac:dyDescent="0.45">
      <c r="A64">
        <v>3063</v>
      </c>
      <c r="B64" t="s">
        <v>85</v>
      </c>
      <c r="C64" t="s">
        <v>43</v>
      </c>
      <c r="D64" t="s">
        <v>56</v>
      </c>
      <c r="E64" t="s">
        <v>17</v>
      </c>
      <c r="F64">
        <v>4</v>
      </c>
      <c r="G64">
        <v>935</v>
      </c>
      <c r="H64" t="s">
        <v>20</v>
      </c>
      <c r="I64">
        <f t="shared" si="0"/>
        <v>3740</v>
      </c>
      <c r="J64">
        <f>Table1[[#This Row],[total_revenue]] * 0.25</f>
        <v>935</v>
      </c>
      <c r="K64" t="str">
        <f>IF(Table1[[#This Row],[unit_price]]&gt;=500,"High",IF(Table1[[#This Row],[unit_price]]&gt;100,"Medium","Low"))</f>
        <v>High</v>
      </c>
    </row>
    <row r="65" spans="1:11" x14ac:dyDescent="0.45">
      <c r="A65">
        <v>3064</v>
      </c>
      <c r="B65" t="s">
        <v>86</v>
      </c>
      <c r="C65" t="s">
        <v>27</v>
      </c>
      <c r="D65" t="s">
        <v>16</v>
      </c>
      <c r="E65" t="s">
        <v>17</v>
      </c>
      <c r="F65">
        <v>5</v>
      </c>
      <c r="G65">
        <v>495</v>
      </c>
      <c r="H65" t="s">
        <v>20</v>
      </c>
      <c r="I65">
        <f t="shared" si="0"/>
        <v>2475</v>
      </c>
      <c r="J65">
        <f>Table1[[#This Row],[total_revenue]] * 0.25</f>
        <v>618.75</v>
      </c>
      <c r="K65" t="str">
        <f>IF(Table1[[#This Row],[unit_price]]&gt;=500,"High",IF(Table1[[#This Row],[unit_price]]&gt;100,"Medium","Low"))</f>
        <v>Medium</v>
      </c>
    </row>
    <row r="66" spans="1:11" x14ac:dyDescent="0.45">
      <c r="A66">
        <v>3065</v>
      </c>
      <c r="B66" t="s">
        <v>87</v>
      </c>
      <c r="C66" t="s">
        <v>10</v>
      </c>
      <c r="D66" t="s">
        <v>65</v>
      </c>
      <c r="E66" t="s">
        <v>17</v>
      </c>
      <c r="F66">
        <v>3</v>
      </c>
      <c r="G66">
        <v>106</v>
      </c>
      <c r="H66" t="s">
        <v>13</v>
      </c>
      <c r="I66">
        <f t="shared" ref="I66:I129" si="1">F66*G66</f>
        <v>318</v>
      </c>
      <c r="J66">
        <f>Table1[[#This Row],[total_revenue]] * 0.25</f>
        <v>79.5</v>
      </c>
      <c r="K66" t="str">
        <f>IF(Table1[[#This Row],[unit_price]]&gt;=500,"High",IF(Table1[[#This Row],[unit_price]]&gt;100,"Medium","Low"))</f>
        <v>Medium</v>
      </c>
    </row>
    <row r="67" spans="1:11" x14ac:dyDescent="0.45">
      <c r="A67">
        <v>3066</v>
      </c>
      <c r="B67" t="s">
        <v>76</v>
      </c>
      <c r="C67" t="s">
        <v>61</v>
      </c>
      <c r="D67" t="s">
        <v>65</v>
      </c>
      <c r="E67" t="s">
        <v>17</v>
      </c>
      <c r="F67">
        <v>5</v>
      </c>
      <c r="G67">
        <v>70</v>
      </c>
      <c r="H67" t="s">
        <v>25</v>
      </c>
      <c r="I67">
        <f t="shared" si="1"/>
        <v>350</v>
      </c>
      <c r="J67">
        <f>Table1[[#This Row],[total_revenue]] * 0.25</f>
        <v>87.5</v>
      </c>
      <c r="K67" t="str">
        <f>IF(Table1[[#This Row],[unit_price]]&gt;=500,"High",IF(Table1[[#This Row],[unit_price]]&gt;100,"Medium","Low"))</f>
        <v>Low</v>
      </c>
    </row>
    <row r="68" spans="1:11" x14ac:dyDescent="0.45">
      <c r="A68">
        <v>3067</v>
      </c>
      <c r="B68" t="s">
        <v>88</v>
      </c>
      <c r="C68" t="s">
        <v>43</v>
      </c>
      <c r="D68" t="s">
        <v>11</v>
      </c>
      <c r="E68" t="s">
        <v>12</v>
      </c>
      <c r="F68">
        <v>4</v>
      </c>
      <c r="G68">
        <v>367</v>
      </c>
      <c r="H68" t="s">
        <v>13</v>
      </c>
      <c r="I68">
        <f t="shared" si="1"/>
        <v>1468</v>
      </c>
      <c r="J68">
        <f>Table1[[#This Row],[total_revenue]] * 0.25</f>
        <v>367</v>
      </c>
      <c r="K68" t="str">
        <f>IF(Table1[[#This Row],[unit_price]]&gt;=500,"High",IF(Table1[[#This Row],[unit_price]]&gt;100,"Medium","Low"))</f>
        <v>Medium</v>
      </c>
    </row>
    <row r="69" spans="1:11" x14ac:dyDescent="0.45">
      <c r="A69">
        <v>3068</v>
      </c>
      <c r="B69" t="s">
        <v>79</v>
      </c>
      <c r="C69" t="s">
        <v>59</v>
      </c>
      <c r="D69" t="s">
        <v>65</v>
      </c>
      <c r="E69" t="s">
        <v>17</v>
      </c>
      <c r="F69">
        <v>4</v>
      </c>
      <c r="G69">
        <v>83</v>
      </c>
      <c r="H69" t="s">
        <v>13</v>
      </c>
      <c r="I69">
        <f t="shared" si="1"/>
        <v>332</v>
      </c>
      <c r="J69">
        <f>Table1[[#This Row],[total_revenue]] * 0.25</f>
        <v>83</v>
      </c>
      <c r="K69" t="str">
        <f>IF(Table1[[#This Row],[unit_price]]&gt;=500,"High",IF(Table1[[#This Row],[unit_price]]&gt;100,"Medium","Low"))</f>
        <v>Low</v>
      </c>
    </row>
    <row r="70" spans="1:11" x14ac:dyDescent="0.45">
      <c r="A70">
        <v>3069</v>
      </c>
      <c r="B70" t="s">
        <v>89</v>
      </c>
      <c r="C70" t="s">
        <v>27</v>
      </c>
      <c r="D70" t="s">
        <v>16</v>
      </c>
      <c r="E70" t="s">
        <v>17</v>
      </c>
      <c r="F70">
        <v>4</v>
      </c>
      <c r="G70">
        <v>469</v>
      </c>
      <c r="H70" t="s">
        <v>25</v>
      </c>
      <c r="I70">
        <f t="shared" si="1"/>
        <v>1876</v>
      </c>
      <c r="J70">
        <f>Table1[[#This Row],[total_revenue]] * 0.25</f>
        <v>469</v>
      </c>
      <c r="K70" t="str">
        <f>IF(Table1[[#This Row],[unit_price]]&gt;=500,"High",IF(Table1[[#This Row],[unit_price]]&gt;100,"Medium","Low"))</f>
        <v>Medium</v>
      </c>
    </row>
    <row r="71" spans="1:11" x14ac:dyDescent="0.45">
      <c r="A71">
        <v>3070</v>
      </c>
      <c r="B71" t="s">
        <v>90</v>
      </c>
      <c r="C71" t="s">
        <v>32</v>
      </c>
      <c r="D71" t="s">
        <v>36</v>
      </c>
      <c r="E71" t="s">
        <v>12</v>
      </c>
      <c r="F71">
        <v>2</v>
      </c>
      <c r="G71">
        <v>115</v>
      </c>
      <c r="H71" t="s">
        <v>20</v>
      </c>
      <c r="I71">
        <f t="shared" si="1"/>
        <v>230</v>
      </c>
      <c r="J71">
        <f>Table1[[#This Row],[total_revenue]] * 0.25</f>
        <v>57.5</v>
      </c>
      <c r="K71" t="str">
        <f>IF(Table1[[#This Row],[unit_price]]&gt;=500,"High",IF(Table1[[#This Row],[unit_price]]&gt;100,"Medium","Low"))</f>
        <v>Medium</v>
      </c>
    </row>
    <row r="72" spans="1:11" x14ac:dyDescent="0.45">
      <c r="A72">
        <v>3071</v>
      </c>
      <c r="B72" t="s">
        <v>91</v>
      </c>
      <c r="C72" t="s">
        <v>59</v>
      </c>
      <c r="D72" t="s">
        <v>65</v>
      </c>
      <c r="E72" t="s">
        <v>17</v>
      </c>
      <c r="F72">
        <v>5</v>
      </c>
      <c r="G72">
        <v>45</v>
      </c>
      <c r="H72" t="s">
        <v>13</v>
      </c>
      <c r="I72">
        <f t="shared" si="1"/>
        <v>225</v>
      </c>
      <c r="J72">
        <f>Table1[[#This Row],[total_revenue]] * 0.25</f>
        <v>56.25</v>
      </c>
      <c r="K72" t="str">
        <f>IF(Table1[[#This Row],[unit_price]]&gt;=500,"High",IF(Table1[[#This Row],[unit_price]]&gt;100,"Medium","Low"))</f>
        <v>Low</v>
      </c>
    </row>
    <row r="73" spans="1:11" x14ac:dyDescent="0.45">
      <c r="A73">
        <v>3072</v>
      </c>
      <c r="B73" t="s">
        <v>37</v>
      </c>
      <c r="C73" t="s">
        <v>10</v>
      </c>
      <c r="D73" t="s">
        <v>22</v>
      </c>
      <c r="E73" t="s">
        <v>17</v>
      </c>
      <c r="F73">
        <v>5</v>
      </c>
      <c r="G73">
        <v>59</v>
      </c>
      <c r="H73" t="s">
        <v>13</v>
      </c>
      <c r="I73">
        <f t="shared" si="1"/>
        <v>295</v>
      </c>
      <c r="J73">
        <f>Table1[[#This Row],[total_revenue]] * 0.25</f>
        <v>73.75</v>
      </c>
      <c r="K73" t="str">
        <f>IF(Table1[[#This Row],[unit_price]]&gt;=500,"High",IF(Table1[[#This Row],[unit_price]]&gt;100,"Medium","Low"))</f>
        <v>Low</v>
      </c>
    </row>
    <row r="74" spans="1:11" x14ac:dyDescent="0.45">
      <c r="A74">
        <v>3073</v>
      </c>
      <c r="B74" t="s">
        <v>92</v>
      </c>
      <c r="C74" t="s">
        <v>35</v>
      </c>
      <c r="D74" t="s">
        <v>41</v>
      </c>
      <c r="E74" t="s">
        <v>12</v>
      </c>
      <c r="F74">
        <v>2</v>
      </c>
      <c r="G74">
        <v>278</v>
      </c>
      <c r="H74" t="s">
        <v>13</v>
      </c>
      <c r="I74">
        <f t="shared" si="1"/>
        <v>556</v>
      </c>
      <c r="J74">
        <f>Table1[[#This Row],[total_revenue]] * 0.25</f>
        <v>139</v>
      </c>
      <c r="K74" t="str">
        <f>IF(Table1[[#This Row],[unit_price]]&gt;=500,"High",IF(Table1[[#This Row],[unit_price]]&gt;100,"Medium","Low"))</f>
        <v>Medium</v>
      </c>
    </row>
    <row r="75" spans="1:11" x14ac:dyDescent="0.45">
      <c r="A75">
        <v>3074</v>
      </c>
      <c r="B75" t="s">
        <v>53</v>
      </c>
      <c r="C75" t="s">
        <v>27</v>
      </c>
      <c r="D75" t="s">
        <v>28</v>
      </c>
      <c r="E75" t="s">
        <v>17</v>
      </c>
      <c r="F75">
        <v>6</v>
      </c>
      <c r="G75">
        <v>-21</v>
      </c>
      <c r="H75" t="s">
        <v>13</v>
      </c>
      <c r="I75">
        <f t="shared" si="1"/>
        <v>-126</v>
      </c>
      <c r="J75">
        <f>Table1[[#This Row],[total_revenue]] * 0.25</f>
        <v>-31.5</v>
      </c>
      <c r="K75" t="str">
        <f>IF(Table1[[#This Row],[unit_price]]&gt;=500,"High",IF(Table1[[#This Row],[unit_price]]&gt;100,"Medium","Low"))</f>
        <v>Low</v>
      </c>
    </row>
    <row r="76" spans="1:11" x14ac:dyDescent="0.45">
      <c r="A76">
        <v>3075</v>
      </c>
      <c r="B76" t="s">
        <v>67</v>
      </c>
      <c r="C76" t="s">
        <v>35</v>
      </c>
      <c r="D76" t="s">
        <v>28</v>
      </c>
      <c r="E76" t="s">
        <v>17</v>
      </c>
      <c r="F76">
        <v>3</v>
      </c>
      <c r="G76">
        <v>45</v>
      </c>
      <c r="H76" t="s">
        <v>20</v>
      </c>
      <c r="I76">
        <f t="shared" si="1"/>
        <v>135</v>
      </c>
      <c r="J76">
        <f>Table1[[#This Row],[total_revenue]] * 0.25</f>
        <v>33.75</v>
      </c>
      <c r="K76" t="str">
        <f>IF(Table1[[#This Row],[unit_price]]&gt;=500,"High",IF(Table1[[#This Row],[unit_price]]&gt;100,"Medium","Low"))</f>
        <v>Low</v>
      </c>
    </row>
    <row r="77" spans="1:11" x14ac:dyDescent="0.45">
      <c r="A77">
        <v>3076</v>
      </c>
      <c r="B77" t="s">
        <v>93</v>
      </c>
      <c r="C77" t="s">
        <v>32</v>
      </c>
      <c r="D77" t="s">
        <v>36</v>
      </c>
      <c r="E77" t="s">
        <v>12</v>
      </c>
      <c r="F77">
        <v>2</v>
      </c>
      <c r="G77">
        <v>105</v>
      </c>
      <c r="H77" t="s">
        <v>13</v>
      </c>
      <c r="I77">
        <f t="shared" si="1"/>
        <v>210</v>
      </c>
      <c r="J77">
        <f>Table1[[#This Row],[total_revenue]] * 0.25</f>
        <v>52.5</v>
      </c>
      <c r="K77" t="str">
        <f>IF(Table1[[#This Row],[unit_price]]&gt;=500,"High",IF(Table1[[#This Row],[unit_price]]&gt;100,"Medium","Low"))</f>
        <v>Medium</v>
      </c>
    </row>
    <row r="78" spans="1:11" x14ac:dyDescent="0.45">
      <c r="A78">
        <v>3077</v>
      </c>
      <c r="B78" t="s">
        <v>84</v>
      </c>
      <c r="C78" t="s">
        <v>27</v>
      </c>
      <c r="D78" t="s">
        <v>41</v>
      </c>
      <c r="E78" t="s">
        <v>12</v>
      </c>
      <c r="F78">
        <v>2</v>
      </c>
      <c r="G78">
        <v>308</v>
      </c>
      <c r="H78" t="s">
        <v>25</v>
      </c>
      <c r="I78">
        <f t="shared" si="1"/>
        <v>616</v>
      </c>
      <c r="J78">
        <f>Table1[[#This Row],[total_revenue]] * 0.25</f>
        <v>154</v>
      </c>
      <c r="K78" t="str">
        <f>IF(Table1[[#This Row],[unit_price]]&gt;=500,"High",IF(Table1[[#This Row],[unit_price]]&gt;100,"Medium","Low"))</f>
        <v>Medium</v>
      </c>
    </row>
    <row r="79" spans="1:11" x14ac:dyDescent="0.45">
      <c r="A79">
        <v>3078</v>
      </c>
      <c r="B79" t="s">
        <v>73</v>
      </c>
      <c r="C79" t="s">
        <v>61</v>
      </c>
      <c r="D79" t="s">
        <v>56</v>
      </c>
      <c r="E79" t="s">
        <v>17</v>
      </c>
      <c r="F79">
        <v>3</v>
      </c>
      <c r="G79">
        <v>930</v>
      </c>
      <c r="H79" t="s">
        <v>13</v>
      </c>
      <c r="I79">
        <f t="shared" si="1"/>
        <v>2790</v>
      </c>
      <c r="J79">
        <f>Table1[[#This Row],[total_revenue]] * 0.25</f>
        <v>697.5</v>
      </c>
      <c r="K79" t="str">
        <f>IF(Table1[[#This Row],[unit_price]]&gt;=500,"High",IF(Table1[[#This Row],[unit_price]]&gt;100,"Medium","Low"))</f>
        <v>High</v>
      </c>
    </row>
    <row r="80" spans="1:11" x14ac:dyDescent="0.45">
      <c r="A80">
        <v>3079</v>
      </c>
      <c r="B80" t="s">
        <v>94</v>
      </c>
      <c r="C80" t="s">
        <v>19</v>
      </c>
      <c r="D80" t="s">
        <v>22</v>
      </c>
      <c r="E80" t="s">
        <v>17</v>
      </c>
      <c r="F80">
        <v>1</v>
      </c>
      <c r="G80">
        <v>-12</v>
      </c>
      <c r="H80" t="s">
        <v>13</v>
      </c>
      <c r="I80">
        <f t="shared" si="1"/>
        <v>-12</v>
      </c>
      <c r="J80">
        <f>Table1[[#This Row],[total_revenue]] * 0.25</f>
        <v>-3</v>
      </c>
      <c r="K80" t="str">
        <f>IF(Table1[[#This Row],[unit_price]]&gt;=500,"High",IF(Table1[[#This Row],[unit_price]]&gt;100,"Medium","Low"))</f>
        <v>Low</v>
      </c>
    </row>
    <row r="81" spans="1:11" x14ac:dyDescent="0.45">
      <c r="A81">
        <v>3080</v>
      </c>
      <c r="B81" t="s">
        <v>95</v>
      </c>
      <c r="C81" t="s">
        <v>27</v>
      </c>
      <c r="D81" t="s">
        <v>41</v>
      </c>
      <c r="E81" t="s">
        <v>12</v>
      </c>
      <c r="F81">
        <v>4</v>
      </c>
      <c r="G81">
        <v>325</v>
      </c>
      <c r="H81" t="s">
        <v>20</v>
      </c>
      <c r="I81">
        <f t="shared" si="1"/>
        <v>1300</v>
      </c>
      <c r="J81">
        <f>Table1[[#This Row],[total_revenue]] * 0.25</f>
        <v>325</v>
      </c>
      <c r="K81" t="str">
        <f>IF(Table1[[#This Row],[unit_price]]&gt;=500,"High",IF(Table1[[#This Row],[unit_price]]&gt;100,"Medium","Low"))</f>
        <v>Medium</v>
      </c>
    </row>
    <row r="82" spans="1:11" x14ac:dyDescent="0.45">
      <c r="A82">
        <v>3081</v>
      </c>
      <c r="B82" t="s">
        <v>96</v>
      </c>
      <c r="C82" t="s">
        <v>43</v>
      </c>
      <c r="D82" t="s">
        <v>41</v>
      </c>
      <c r="E82" t="s">
        <v>12</v>
      </c>
      <c r="F82">
        <v>6</v>
      </c>
      <c r="G82">
        <v>342</v>
      </c>
      <c r="H82" t="s">
        <v>20</v>
      </c>
      <c r="I82">
        <f t="shared" si="1"/>
        <v>2052</v>
      </c>
      <c r="J82">
        <f>Table1[[#This Row],[total_revenue]] * 0.25</f>
        <v>513</v>
      </c>
      <c r="K82" t="str">
        <f>IF(Table1[[#This Row],[unit_price]]&gt;=500,"High",IF(Table1[[#This Row],[unit_price]]&gt;100,"Medium","Low"))</f>
        <v>Medium</v>
      </c>
    </row>
    <row r="83" spans="1:11" x14ac:dyDescent="0.45">
      <c r="A83">
        <v>3082</v>
      </c>
      <c r="B83" t="s">
        <v>62</v>
      </c>
      <c r="C83" t="s">
        <v>61</v>
      </c>
      <c r="D83" t="s">
        <v>36</v>
      </c>
      <c r="E83" t="s">
        <v>12</v>
      </c>
      <c r="F83">
        <v>5</v>
      </c>
      <c r="G83">
        <v>58</v>
      </c>
      <c r="H83" t="s">
        <v>20</v>
      </c>
      <c r="I83">
        <f t="shared" si="1"/>
        <v>290</v>
      </c>
      <c r="J83">
        <f>Table1[[#This Row],[total_revenue]] * 0.25</f>
        <v>72.5</v>
      </c>
      <c r="K83" t="str">
        <f>IF(Table1[[#This Row],[unit_price]]&gt;=500,"High",IF(Table1[[#This Row],[unit_price]]&gt;100,"Medium","Low"))</f>
        <v>Low</v>
      </c>
    </row>
    <row r="84" spans="1:11" x14ac:dyDescent="0.45">
      <c r="A84">
        <v>3083</v>
      </c>
      <c r="B84" t="s">
        <v>97</v>
      </c>
      <c r="C84" t="s">
        <v>52</v>
      </c>
      <c r="D84" t="s">
        <v>28</v>
      </c>
      <c r="E84" t="s">
        <v>17</v>
      </c>
      <c r="F84">
        <v>6</v>
      </c>
      <c r="G84">
        <v>26</v>
      </c>
      <c r="H84" t="s">
        <v>20</v>
      </c>
      <c r="I84">
        <f t="shared" si="1"/>
        <v>156</v>
      </c>
      <c r="J84">
        <f>Table1[[#This Row],[total_revenue]] * 0.25</f>
        <v>39</v>
      </c>
      <c r="K84" t="str">
        <f>IF(Table1[[#This Row],[unit_price]]&gt;=500,"High",IF(Table1[[#This Row],[unit_price]]&gt;100,"Medium","Low"))</f>
        <v>Low</v>
      </c>
    </row>
    <row r="85" spans="1:11" x14ac:dyDescent="0.45">
      <c r="A85">
        <v>3084</v>
      </c>
      <c r="B85" t="s">
        <v>76</v>
      </c>
      <c r="C85" t="s">
        <v>59</v>
      </c>
      <c r="D85" t="s">
        <v>56</v>
      </c>
      <c r="E85" t="s">
        <v>17</v>
      </c>
      <c r="F85">
        <v>5</v>
      </c>
      <c r="G85">
        <v>905</v>
      </c>
      <c r="H85" t="s">
        <v>25</v>
      </c>
      <c r="I85">
        <f t="shared" si="1"/>
        <v>4525</v>
      </c>
      <c r="J85">
        <f>Table1[[#This Row],[total_revenue]] * 0.25</f>
        <v>1131.25</v>
      </c>
      <c r="K85" t="str">
        <f>IF(Table1[[#This Row],[unit_price]]&gt;=500,"High",IF(Table1[[#This Row],[unit_price]]&gt;100,"Medium","Low"))</f>
        <v>High</v>
      </c>
    </row>
    <row r="86" spans="1:11" x14ac:dyDescent="0.45">
      <c r="A86">
        <v>3085</v>
      </c>
      <c r="B86" t="s">
        <v>98</v>
      </c>
      <c r="C86" t="s">
        <v>59</v>
      </c>
      <c r="D86" t="s">
        <v>36</v>
      </c>
      <c r="E86" t="s">
        <v>12</v>
      </c>
      <c r="F86">
        <v>5</v>
      </c>
      <c r="G86">
        <v>113</v>
      </c>
      <c r="H86" t="s">
        <v>25</v>
      </c>
      <c r="I86">
        <f t="shared" si="1"/>
        <v>565</v>
      </c>
      <c r="J86">
        <f>Table1[[#This Row],[total_revenue]] * 0.25</f>
        <v>141.25</v>
      </c>
      <c r="K86" t="str">
        <f>IF(Table1[[#This Row],[unit_price]]&gt;=500,"High",IF(Table1[[#This Row],[unit_price]]&gt;100,"Medium","Low"))</f>
        <v>Medium</v>
      </c>
    </row>
    <row r="87" spans="1:11" x14ac:dyDescent="0.45">
      <c r="A87">
        <v>3086</v>
      </c>
      <c r="B87" t="s">
        <v>99</v>
      </c>
      <c r="C87" t="s">
        <v>43</v>
      </c>
      <c r="D87" t="s">
        <v>65</v>
      </c>
      <c r="E87" t="s">
        <v>17</v>
      </c>
      <c r="F87">
        <v>6</v>
      </c>
      <c r="G87">
        <v>115</v>
      </c>
      <c r="H87" t="s">
        <v>25</v>
      </c>
      <c r="I87">
        <f t="shared" si="1"/>
        <v>690</v>
      </c>
      <c r="J87">
        <f>Table1[[#This Row],[total_revenue]] * 0.25</f>
        <v>172.5</v>
      </c>
      <c r="K87" t="str">
        <f>IF(Table1[[#This Row],[unit_price]]&gt;=500,"High",IF(Table1[[#This Row],[unit_price]]&gt;100,"Medium","Low"))</f>
        <v>Medium</v>
      </c>
    </row>
    <row r="88" spans="1:11" x14ac:dyDescent="0.45">
      <c r="A88">
        <v>3087</v>
      </c>
      <c r="B88" t="s">
        <v>100</v>
      </c>
      <c r="C88" t="s">
        <v>52</v>
      </c>
      <c r="D88" t="s">
        <v>16</v>
      </c>
      <c r="E88" t="s">
        <v>17</v>
      </c>
      <c r="F88">
        <v>4</v>
      </c>
      <c r="G88">
        <v>498</v>
      </c>
      <c r="H88" t="s">
        <v>25</v>
      </c>
      <c r="I88">
        <f t="shared" si="1"/>
        <v>1992</v>
      </c>
      <c r="J88">
        <f>Table1[[#This Row],[total_revenue]] * 0.25</f>
        <v>498</v>
      </c>
      <c r="K88" t="str">
        <f>IF(Table1[[#This Row],[unit_price]]&gt;=500,"High",IF(Table1[[#This Row],[unit_price]]&gt;100,"Medium","Low"))</f>
        <v>Medium</v>
      </c>
    </row>
    <row r="89" spans="1:11" x14ac:dyDescent="0.45">
      <c r="A89">
        <v>3088</v>
      </c>
      <c r="B89" t="s">
        <v>76</v>
      </c>
      <c r="C89" t="s">
        <v>10</v>
      </c>
      <c r="D89" t="s">
        <v>65</v>
      </c>
      <c r="E89" t="s">
        <v>17</v>
      </c>
      <c r="F89">
        <v>5</v>
      </c>
      <c r="G89">
        <v>112</v>
      </c>
      <c r="H89" t="s">
        <v>13</v>
      </c>
      <c r="I89">
        <f t="shared" si="1"/>
        <v>560</v>
      </c>
      <c r="J89">
        <f>Table1[[#This Row],[total_revenue]] * 0.25</f>
        <v>140</v>
      </c>
      <c r="K89" t="str">
        <f>IF(Table1[[#This Row],[unit_price]]&gt;=500,"High",IF(Table1[[#This Row],[unit_price]]&gt;100,"Medium","Low"))</f>
        <v>Medium</v>
      </c>
    </row>
    <row r="90" spans="1:11" x14ac:dyDescent="0.45">
      <c r="A90">
        <v>3089</v>
      </c>
      <c r="B90" t="s">
        <v>101</v>
      </c>
      <c r="C90" t="s">
        <v>59</v>
      </c>
      <c r="D90" t="s">
        <v>41</v>
      </c>
      <c r="E90" t="s">
        <v>12</v>
      </c>
      <c r="F90">
        <v>1</v>
      </c>
      <c r="G90">
        <v>264</v>
      </c>
      <c r="H90" t="s">
        <v>20</v>
      </c>
      <c r="I90">
        <f t="shared" si="1"/>
        <v>264</v>
      </c>
      <c r="J90">
        <f>Table1[[#This Row],[total_revenue]] * 0.25</f>
        <v>66</v>
      </c>
      <c r="K90" t="str">
        <f>IF(Table1[[#This Row],[unit_price]]&gt;=500,"High",IF(Table1[[#This Row],[unit_price]]&gt;100,"Medium","Low"))</f>
        <v>Medium</v>
      </c>
    </row>
    <row r="91" spans="1:11" x14ac:dyDescent="0.45">
      <c r="A91">
        <v>3090</v>
      </c>
      <c r="B91" t="s">
        <v>82</v>
      </c>
      <c r="C91" t="s">
        <v>24</v>
      </c>
      <c r="D91" t="s">
        <v>56</v>
      </c>
      <c r="E91" t="s">
        <v>17</v>
      </c>
      <c r="F91">
        <v>3</v>
      </c>
      <c r="G91">
        <v>905</v>
      </c>
      <c r="H91" t="s">
        <v>13</v>
      </c>
      <c r="I91">
        <f t="shared" si="1"/>
        <v>2715</v>
      </c>
      <c r="J91">
        <f>Table1[[#This Row],[total_revenue]] * 0.25</f>
        <v>678.75</v>
      </c>
      <c r="K91" t="str">
        <f>IF(Table1[[#This Row],[unit_price]]&gt;=500,"High",IF(Table1[[#This Row],[unit_price]]&gt;100,"Medium","Low"))</f>
        <v>High</v>
      </c>
    </row>
    <row r="92" spans="1:11" x14ac:dyDescent="0.45">
      <c r="A92">
        <v>3091</v>
      </c>
      <c r="B92" t="s">
        <v>102</v>
      </c>
      <c r="C92" t="s">
        <v>24</v>
      </c>
      <c r="D92" t="s">
        <v>65</v>
      </c>
      <c r="E92" t="s">
        <v>17</v>
      </c>
      <c r="F92">
        <v>4</v>
      </c>
      <c r="G92">
        <v>77</v>
      </c>
      <c r="H92" t="s">
        <v>13</v>
      </c>
      <c r="I92">
        <f t="shared" si="1"/>
        <v>308</v>
      </c>
      <c r="J92">
        <f>Table1[[#This Row],[total_revenue]] * 0.25</f>
        <v>77</v>
      </c>
      <c r="K92" t="str">
        <f>IF(Table1[[#This Row],[unit_price]]&gt;=500,"High",IF(Table1[[#This Row],[unit_price]]&gt;100,"Medium","Low"))</f>
        <v>Low</v>
      </c>
    </row>
    <row r="93" spans="1:11" x14ac:dyDescent="0.45">
      <c r="A93">
        <v>3092</v>
      </c>
      <c r="B93" t="s">
        <v>103</v>
      </c>
      <c r="C93" t="s">
        <v>19</v>
      </c>
      <c r="D93" t="s">
        <v>11</v>
      </c>
      <c r="E93" t="s">
        <v>12</v>
      </c>
      <c r="F93">
        <v>3</v>
      </c>
      <c r="G93">
        <v>324</v>
      </c>
      <c r="H93" t="s">
        <v>13</v>
      </c>
      <c r="I93">
        <f t="shared" si="1"/>
        <v>972</v>
      </c>
      <c r="J93">
        <f>Table1[[#This Row],[total_revenue]] * 0.25</f>
        <v>243</v>
      </c>
      <c r="K93" t="str">
        <f>IF(Table1[[#This Row],[unit_price]]&gt;=500,"High",IF(Table1[[#This Row],[unit_price]]&gt;100,"Medium","Low"))</f>
        <v>Medium</v>
      </c>
    </row>
    <row r="94" spans="1:11" x14ac:dyDescent="0.45">
      <c r="A94">
        <v>3093</v>
      </c>
      <c r="B94" t="s">
        <v>104</v>
      </c>
      <c r="C94" t="s">
        <v>52</v>
      </c>
      <c r="D94" t="s">
        <v>41</v>
      </c>
      <c r="E94" t="s">
        <v>12</v>
      </c>
      <c r="F94">
        <v>5</v>
      </c>
      <c r="G94">
        <v>289</v>
      </c>
      <c r="H94" t="s">
        <v>13</v>
      </c>
      <c r="I94">
        <f t="shared" si="1"/>
        <v>1445</v>
      </c>
      <c r="J94">
        <f>Table1[[#This Row],[total_revenue]] * 0.25</f>
        <v>361.25</v>
      </c>
      <c r="K94" t="str">
        <f>IF(Table1[[#This Row],[unit_price]]&gt;=500,"High",IF(Table1[[#This Row],[unit_price]]&gt;100,"Medium","Low"))</f>
        <v>Medium</v>
      </c>
    </row>
    <row r="95" spans="1:11" x14ac:dyDescent="0.45">
      <c r="A95">
        <v>3094</v>
      </c>
      <c r="B95" t="s">
        <v>105</v>
      </c>
      <c r="C95" t="s">
        <v>59</v>
      </c>
      <c r="D95" t="s">
        <v>11</v>
      </c>
      <c r="E95" t="s">
        <v>12</v>
      </c>
      <c r="F95">
        <v>4</v>
      </c>
      <c r="G95">
        <v>316</v>
      </c>
      <c r="H95" t="s">
        <v>13</v>
      </c>
      <c r="I95">
        <f t="shared" si="1"/>
        <v>1264</v>
      </c>
      <c r="J95">
        <f>Table1[[#This Row],[total_revenue]] * 0.25</f>
        <v>316</v>
      </c>
      <c r="K95" t="str">
        <f>IF(Table1[[#This Row],[unit_price]]&gt;=500,"High",IF(Table1[[#This Row],[unit_price]]&gt;100,"Medium","Low"))</f>
        <v>Medium</v>
      </c>
    </row>
    <row r="96" spans="1:11" x14ac:dyDescent="0.45">
      <c r="A96">
        <v>3095</v>
      </c>
      <c r="B96" t="s">
        <v>106</v>
      </c>
      <c r="C96" t="s">
        <v>27</v>
      </c>
      <c r="D96" t="s">
        <v>16</v>
      </c>
      <c r="E96" t="s">
        <v>17</v>
      </c>
      <c r="F96">
        <v>2</v>
      </c>
      <c r="G96">
        <v>482</v>
      </c>
      <c r="H96" t="s">
        <v>20</v>
      </c>
      <c r="I96">
        <f t="shared" si="1"/>
        <v>964</v>
      </c>
      <c r="J96">
        <f>Table1[[#This Row],[total_revenue]] * 0.25</f>
        <v>241</v>
      </c>
      <c r="K96" t="str">
        <f>IF(Table1[[#This Row],[unit_price]]&gt;=500,"High",IF(Table1[[#This Row],[unit_price]]&gt;100,"Medium","Low"))</f>
        <v>Medium</v>
      </c>
    </row>
    <row r="97" spans="1:11" x14ac:dyDescent="0.45">
      <c r="A97">
        <v>3096</v>
      </c>
      <c r="B97" t="s">
        <v>76</v>
      </c>
      <c r="C97" t="s">
        <v>27</v>
      </c>
      <c r="D97" t="s">
        <v>16</v>
      </c>
      <c r="E97" t="s">
        <v>17</v>
      </c>
      <c r="F97">
        <v>1</v>
      </c>
      <c r="G97">
        <v>409</v>
      </c>
      <c r="H97" t="s">
        <v>13</v>
      </c>
      <c r="I97">
        <f t="shared" si="1"/>
        <v>409</v>
      </c>
      <c r="J97">
        <f>Table1[[#This Row],[total_revenue]] * 0.25</f>
        <v>102.25</v>
      </c>
      <c r="K97" t="str">
        <f>IF(Table1[[#This Row],[unit_price]]&gt;=500,"High",IF(Table1[[#This Row],[unit_price]]&gt;100,"Medium","Low"))</f>
        <v>Medium</v>
      </c>
    </row>
    <row r="98" spans="1:11" x14ac:dyDescent="0.45">
      <c r="A98">
        <v>3097</v>
      </c>
      <c r="B98" t="s">
        <v>107</v>
      </c>
      <c r="C98" t="s">
        <v>10</v>
      </c>
      <c r="D98" t="s">
        <v>41</v>
      </c>
      <c r="E98" t="s">
        <v>12</v>
      </c>
      <c r="F98">
        <v>2</v>
      </c>
      <c r="G98">
        <v>282</v>
      </c>
      <c r="H98" t="s">
        <v>25</v>
      </c>
      <c r="I98">
        <f t="shared" si="1"/>
        <v>564</v>
      </c>
      <c r="J98">
        <f>Table1[[#This Row],[total_revenue]] * 0.25</f>
        <v>141</v>
      </c>
      <c r="K98" t="str">
        <f>IF(Table1[[#This Row],[unit_price]]&gt;=500,"High",IF(Table1[[#This Row],[unit_price]]&gt;100,"Medium","Low"))</f>
        <v>Medium</v>
      </c>
    </row>
    <row r="99" spans="1:11" x14ac:dyDescent="0.45">
      <c r="A99">
        <v>3098</v>
      </c>
      <c r="B99" t="s">
        <v>73</v>
      </c>
      <c r="C99" t="s">
        <v>27</v>
      </c>
      <c r="D99" t="s">
        <v>65</v>
      </c>
      <c r="E99" t="s">
        <v>17</v>
      </c>
      <c r="F99">
        <v>3</v>
      </c>
      <c r="G99">
        <v>42</v>
      </c>
      <c r="H99" t="s">
        <v>25</v>
      </c>
      <c r="I99">
        <f t="shared" si="1"/>
        <v>126</v>
      </c>
      <c r="J99">
        <f>Table1[[#This Row],[total_revenue]] * 0.25</f>
        <v>31.5</v>
      </c>
      <c r="K99" t="str">
        <f>IF(Table1[[#This Row],[unit_price]]&gt;=500,"High",IF(Table1[[#This Row],[unit_price]]&gt;100,"Medium","Low"))</f>
        <v>Low</v>
      </c>
    </row>
    <row r="100" spans="1:11" x14ac:dyDescent="0.45">
      <c r="A100">
        <v>3099</v>
      </c>
      <c r="B100" t="s">
        <v>46</v>
      </c>
      <c r="C100" t="s">
        <v>35</v>
      </c>
      <c r="D100" t="s">
        <v>11</v>
      </c>
      <c r="E100" t="s">
        <v>12</v>
      </c>
      <c r="F100">
        <v>5</v>
      </c>
      <c r="G100">
        <v>367</v>
      </c>
      <c r="H100" t="s">
        <v>25</v>
      </c>
      <c r="I100">
        <f t="shared" si="1"/>
        <v>1835</v>
      </c>
      <c r="J100">
        <f>Table1[[#This Row],[total_revenue]] * 0.25</f>
        <v>458.75</v>
      </c>
      <c r="K100" t="str">
        <f>IF(Table1[[#This Row],[unit_price]]&gt;=500,"High",IF(Table1[[#This Row],[unit_price]]&gt;100,"Medium","Low"))</f>
        <v>Medium</v>
      </c>
    </row>
    <row r="101" spans="1:11" x14ac:dyDescent="0.45">
      <c r="A101">
        <v>3100</v>
      </c>
      <c r="B101" t="s">
        <v>108</v>
      </c>
      <c r="C101" t="s">
        <v>32</v>
      </c>
      <c r="D101" t="s">
        <v>11</v>
      </c>
      <c r="E101" t="s">
        <v>12</v>
      </c>
      <c r="F101">
        <v>1</v>
      </c>
      <c r="G101">
        <v>321</v>
      </c>
      <c r="H101" t="s">
        <v>20</v>
      </c>
      <c r="I101">
        <f t="shared" si="1"/>
        <v>321</v>
      </c>
      <c r="J101">
        <f>Table1[[#This Row],[total_revenue]] * 0.25</f>
        <v>80.25</v>
      </c>
      <c r="K101" t="str">
        <f>IF(Table1[[#This Row],[unit_price]]&gt;=500,"High",IF(Table1[[#This Row],[unit_price]]&gt;100,"Medium","Low"))</f>
        <v>Medium</v>
      </c>
    </row>
    <row r="102" spans="1:11" x14ac:dyDescent="0.45">
      <c r="A102">
        <v>3101</v>
      </c>
      <c r="B102" t="s">
        <v>109</v>
      </c>
      <c r="C102" t="s">
        <v>61</v>
      </c>
      <c r="D102" t="s">
        <v>16</v>
      </c>
      <c r="E102" t="s">
        <v>17</v>
      </c>
      <c r="F102">
        <v>2</v>
      </c>
      <c r="G102">
        <v>451</v>
      </c>
      <c r="H102" t="s">
        <v>20</v>
      </c>
      <c r="I102">
        <f t="shared" si="1"/>
        <v>902</v>
      </c>
      <c r="J102">
        <f>Table1[[#This Row],[total_revenue]] * 0.25</f>
        <v>225.5</v>
      </c>
      <c r="K102" t="str">
        <f>IF(Table1[[#This Row],[unit_price]]&gt;=500,"High",IF(Table1[[#This Row],[unit_price]]&gt;100,"Medium","Low"))</f>
        <v>Medium</v>
      </c>
    </row>
    <row r="103" spans="1:11" x14ac:dyDescent="0.45">
      <c r="A103">
        <v>3102</v>
      </c>
      <c r="B103" t="s">
        <v>71</v>
      </c>
      <c r="C103" t="s">
        <v>10</v>
      </c>
      <c r="D103" t="s">
        <v>41</v>
      </c>
      <c r="E103" t="s">
        <v>12</v>
      </c>
      <c r="F103">
        <v>5</v>
      </c>
      <c r="G103">
        <v>320</v>
      </c>
      <c r="H103" t="s">
        <v>25</v>
      </c>
      <c r="I103">
        <f t="shared" si="1"/>
        <v>1600</v>
      </c>
      <c r="J103">
        <f>Table1[[#This Row],[total_revenue]] * 0.25</f>
        <v>400</v>
      </c>
      <c r="K103" t="str">
        <f>IF(Table1[[#This Row],[unit_price]]&gt;=500,"High",IF(Table1[[#This Row],[unit_price]]&gt;100,"Medium","Low"))</f>
        <v>Medium</v>
      </c>
    </row>
    <row r="104" spans="1:11" x14ac:dyDescent="0.45">
      <c r="A104">
        <v>3103</v>
      </c>
      <c r="B104" t="s">
        <v>110</v>
      </c>
      <c r="C104" t="s">
        <v>43</v>
      </c>
      <c r="D104" t="s">
        <v>16</v>
      </c>
      <c r="E104" t="s">
        <v>17</v>
      </c>
      <c r="F104">
        <v>6</v>
      </c>
      <c r="G104">
        <v>493</v>
      </c>
      <c r="H104" t="s">
        <v>20</v>
      </c>
      <c r="I104">
        <f t="shared" si="1"/>
        <v>2958</v>
      </c>
      <c r="J104">
        <f>Table1[[#This Row],[total_revenue]] * 0.25</f>
        <v>739.5</v>
      </c>
      <c r="K104" t="str">
        <f>IF(Table1[[#This Row],[unit_price]]&gt;=500,"High",IF(Table1[[#This Row],[unit_price]]&gt;100,"Medium","Low"))</f>
        <v>Medium</v>
      </c>
    </row>
    <row r="105" spans="1:11" x14ac:dyDescent="0.45">
      <c r="A105">
        <v>3104</v>
      </c>
      <c r="B105" t="s">
        <v>60</v>
      </c>
      <c r="C105" t="s">
        <v>32</v>
      </c>
      <c r="D105" t="s">
        <v>65</v>
      </c>
      <c r="E105" t="s">
        <v>17</v>
      </c>
      <c r="F105">
        <v>6</v>
      </c>
      <c r="G105">
        <v>119</v>
      </c>
      <c r="H105" t="s">
        <v>25</v>
      </c>
      <c r="I105">
        <f t="shared" si="1"/>
        <v>714</v>
      </c>
      <c r="J105">
        <f>Table1[[#This Row],[total_revenue]] * 0.25</f>
        <v>178.5</v>
      </c>
      <c r="K105" t="str">
        <f>IF(Table1[[#This Row],[unit_price]]&gt;=500,"High",IF(Table1[[#This Row],[unit_price]]&gt;100,"Medium","Low"))</f>
        <v>Medium</v>
      </c>
    </row>
    <row r="106" spans="1:11" x14ac:dyDescent="0.45">
      <c r="A106">
        <v>3105</v>
      </c>
      <c r="B106" t="s">
        <v>111</v>
      </c>
      <c r="C106" t="s">
        <v>32</v>
      </c>
      <c r="D106" t="s">
        <v>36</v>
      </c>
      <c r="E106" t="s">
        <v>12</v>
      </c>
      <c r="F106">
        <v>5</v>
      </c>
      <c r="G106">
        <v>145</v>
      </c>
      <c r="H106" t="s">
        <v>13</v>
      </c>
      <c r="I106">
        <f t="shared" si="1"/>
        <v>725</v>
      </c>
      <c r="J106">
        <f>Table1[[#This Row],[total_revenue]] * 0.25</f>
        <v>181.25</v>
      </c>
      <c r="K106" t="str">
        <f>IF(Table1[[#This Row],[unit_price]]&gt;=500,"High",IF(Table1[[#This Row],[unit_price]]&gt;100,"Medium","Low"))</f>
        <v>Medium</v>
      </c>
    </row>
    <row r="107" spans="1:11" x14ac:dyDescent="0.45">
      <c r="A107">
        <v>3106</v>
      </c>
      <c r="B107" t="s">
        <v>87</v>
      </c>
      <c r="C107" t="s">
        <v>15</v>
      </c>
      <c r="D107" t="s">
        <v>11</v>
      </c>
      <c r="E107" t="s">
        <v>12</v>
      </c>
      <c r="F107">
        <v>1</v>
      </c>
      <c r="G107">
        <v>391</v>
      </c>
      <c r="H107" t="s">
        <v>20</v>
      </c>
      <c r="I107">
        <f t="shared" si="1"/>
        <v>391</v>
      </c>
      <c r="J107">
        <f>Table1[[#This Row],[total_revenue]] * 0.25</f>
        <v>97.75</v>
      </c>
      <c r="K107" t="str">
        <f>IF(Table1[[#This Row],[unit_price]]&gt;=500,"High",IF(Table1[[#This Row],[unit_price]]&gt;100,"Medium","Low"))</f>
        <v>Medium</v>
      </c>
    </row>
    <row r="108" spans="1:11" x14ac:dyDescent="0.45">
      <c r="A108">
        <v>3107</v>
      </c>
      <c r="B108" t="s">
        <v>82</v>
      </c>
      <c r="C108" t="s">
        <v>15</v>
      </c>
      <c r="D108" t="s">
        <v>28</v>
      </c>
      <c r="E108" t="s">
        <v>17</v>
      </c>
      <c r="F108">
        <v>6</v>
      </c>
      <c r="G108">
        <v>32</v>
      </c>
      <c r="H108" t="s">
        <v>13</v>
      </c>
      <c r="I108">
        <f t="shared" si="1"/>
        <v>192</v>
      </c>
      <c r="J108">
        <f>Table1[[#This Row],[total_revenue]] * 0.25</f>
        <v>48</v>
      </c>
      <c r="K108" t="str">
        <f>IF(Table1[[#This Row],[unit_price]]&gt;=500,"High",IF(Table1[[#This Row],[unit_price]]&gt;100,"Medium","Low"))</f>
        <v>Low</v>
      </c>
    </row>
    <row r="109" spans="1:11" x14ac:dyDescent="0.45">
      <c r="A109">
        <v>3108</v>
      </c>
      <c r="B109" t="s">
        <v>60</v>
      </c>
      <c r="C109" t="s">
        <v>52</v>
      </c>
      <c r="D109" t="s">
        <v>28</v>
      </c>
      <c r="E109" t="s">
        <v>17</v>
      </c>
      <c r="F109">
        <v>1</v>
      </c>
      <c r="G109">
        <v>-24</v>
      </c>
      <c r="H109" t="s">
        <v>20</v>
      </c>
      <c r="I109">
        <f t="shared" si="1"/>
        <v>-24</v>
      </c>
      <c r="J109">
        <f>Table1[[#This Row],[total_revenue]] * 0.25</f>
        <v>-6</v>
      </c>
      <c r="K109" t="str">
        <f>IF(Table1[[#This Row],[unit_price]]&gt;=500,"High",IF(Table1[[#This Row],[unit_price]]&gt;100,"Medium","Low"))</f>
        <v>Low</v>
      </c>
    </row>
    <row r="110" spans="1:11" x14ac:dyDescent="0.45">
      <c r="A110">
        <v>3109</v>
      </c>
      <c r="B110" t="s">
        <v>112</v>
      </c>
      <c r="C110" t="s">
        <v>61</v>
      </c>
      <c r="D110" t="s">
        <v>41</v>
      </c>
      <c r="E110" t="s">
        <v>12</v>
      </c>
      <c r="F110">
        <v>5</v>
      </c>
      <c r="G110">
        <v>259</v>
      </c>
      <c r="H110" t="s">
        <v>25</v>
      </c>
      <c r="I110">
        <f t="shared" si="1"/>
        <v>1295</v>
      </c>
      <c r="J110">
        <f>Table1[[#This Row],[total_revenue]] * 0.25</f>
        <v>323.75</v>
      </c>
      <c r="K110" t="str">
        <f>IF(Table1[[#This Row],[unit_price]]&gt;=500,"High",IF(Table1[[#This Row],[unit_price]]&gt;100,"Medium","Low"))</f>
        <v>Medium</v>
      </c>
    </row>
    <row r="111" spans="1:11" x14ac:dyDescent="0.45">
      <c r="A111">
        <v>3110</v>
      </c>
      <c r="B111" t="s">
        <v>113</v>
      </c>
      <c r="C111" t="s">
        <v>30</v>
      </c>
      <c r="D111" t="s">
        <v>22</v>
      </c>
      <c r="E111" t="s">
        <v>17</v>
      </c>
      <c r="F111">
        <v>5</v>
      </c>
      <c r="G111">
        <v>11</v>
      </c>
      <c r="H111" t="s">
        <v>20</v>
      </c>
      <c r="I111">
        <f t="shared" si="1"/>
        <v>55</v>
      </c>
      <c r="J111">
        <f>Table1[[#This Row],[total_revenue]] * 0.25</f>
        <v>13.75</v>
      </c>
      <c r="K111" t="str">
        <f>IF(Table1[[#This Row],[unit_price]]&gt;=500,"High",IF(Table1[[#This Row],[unit_price]]&gt;100,"Medium","Low"))</f>
        <v>Low</v>
      </c>
    </row>
    <row r="112" spans="1:11" x14ac:dyDescent="0.45">
      <c r="A112">
        <v>3111</v>
      </c>
      <c r="B112" t="s">
        <v>108</v>
      </c>
      <c r="C112" t="s">
        <v>27</v>
      </c>
      <c r="D112" t="s">
        <v>36</v>
      </c>
      <c r="E112" t="s">
        <v>12</v>
      </c>
      <c r="F112">
        <v>6</v>
      </c>
      <c r="G112">
        <v>137</v>
      </c>
      <c r="H112" t="s">
        <v>13</v>
      </c>
      <c r="I112">
        <f t="shared" si="1"/>
        <v>822</v>
      </c>
      <c r="J112">
        <f>Table1[[#This Row],[total_revenue]] * 0.25</f>
        <v>205.5</v>
      </c>
      <c r="K112" t="str">
        <f>IF(Table1[[#This Row],[unit_price]]&gt;=500,"High",IF(Table1[[#This Row],[unit_price]]&gt;100,"Medium","Low"))</f>
        <v>Medium</v>
      </c>
    </row>
    <row r="113" spans="1:11" x14ac:dyDescent="0.45">
      <c r="A113">
        <v>3112</v>
      </c>
      <c r="B113" t="s">
        <v>60</v>
      </c>
      <c r="C113" t="s">
        <v>10</v>
      </c>
      <c r="D113" t="s">
        <v>36</v>
      </c>
      <c r="E113" t="s">
        <v>12</v>
      </c>
      <c r="F113">
        <v>2</v>
      </c>
      <c r="G113">
        <v>119</v>
      </c>
      <c r="H113" t="s">
        <v>13</v>
      </c>
      <c r="I113">
        <f t="shared" si="1"/>
        <v>238</v>
      </c>
      <c r="J113">
        <f>Table1[[#This Row],[total_revenue]] * 0.25</f>
        <v>59.5</v>
      </c>
      <c r="K113" t="str">
        <f>IF(Table1[[#This Row],[unit_price]]&gt;=500,"High",IF(Table1[[#This Row],[unit_price]]&gt;100,"Medium","Low"))</f>
        <v>Medium</v>
      </c>
    </row>
    <row r="114" spans="1:11" x14ac:dyDescent="0.45">
      <c r="A114">
        <v>3113</v>
      </c>
      <c r="B114" t="s">
        <v>31</v>
      </c>
      <c r="C114" t="s">
        <v>30</v>
      </c>
      <c r="D114" t="s">
        <v>38</v>
      </c>
      <c r="E114" t="s">
        <v>17</v>
      </c>
      <c r="F114">
        <v>4</v>
      </c>
      <c r="G114">
        <v>211</v>
      </c>
      <c r="H114" t="s">
        <v>13</v>
      </c>
      <c r="I114">
        <f t="shared" si="1"/>
        <v>844</v>
      </c>
      <c r="J114">
        <f>Table1[[#This Row],[total_revenue]] * 0.25</f>
        <v>211</v>
      </c>
      <c r="K114" t="str">
        <f>IF(Table1[[#This Row],[unit_price]]&gt;=500,"High",IF(Table1[[#This Row],[unit_price]]&gt;100,"Medium","Low"))</f>
        <v>Medium</v>
      </c>
    </row>
    <row r="115" spans="1:11" x14ac:dyDescent="0.45">
      <c r="A115">
        <v>3114</v>
      </c>
      <c r="B115" t="s">
        <v>107</v>
      </c>
      <c r="C115" t="s">
        <v>19</v>
      </c>
      <c r="D115" t="s">
        <v>41</v>
      </c>
      <c r="E115" t="s">
        <v>12</v>
      </c>
      <c r="F115">
        <v>6</v>
      </c>
      <c r="G115">
        <v>347</v>
      </c>
      <c r="H115" t="s">
        <v>25</v>
      </c>
      <c r="I115">
        <f t="shared" si="1"/>
        <v>2082</v>
      </c>
      <c r="J115">
        <f>Table1[[#This Row],[total_revenue]] * 0.25</f>
        <v>520.5</v>
      </c>
      <c r="K115" t="str">
        <f>IF(Table1[[#This Row],[unit_price]]&gt;=500,"High",IF(Table1[[#This Row],[unit_price]]&gt;100,"Medium","Low"))</f>
        <v>Medium</v>
      </c>
    </row>
    <row r="116" spans="1:11" x14ac:dyDescent="0.45">
      <c r="A116">
        <v>3115</v>
      </c>
      <c r="B116" t="s">
        <v>94</v>
      </c>
      <c r="C116" t="s">
        <v>27</v>
      </c>
      <c r="D116" t="s">
        <v>22</v>
      </c>
      <c r="E116" t="s">
        <v>17</v>
      </c>
      <c r="F116">
        <v>5</v>
      </c>
      <c r="G116">
        <v>33</v>
      </c>
      <c r="H116" t="s">
        <v>25</v>
      </c>
      <c r="I116">
        <f t="shared" si="1"/>
        <v>165</v>
      </c>
      <c r="J116">
        <f>Table1[[#This Row],[total_revenue]] * 0.25</f>
        <v>41.25</v>
      </c>
      <c r="K116" t="str">
        <f>IF(Table1[[#This Row],[unit_price]]&gt;=500,"High",IF(Table1[[#This Row],[unit_price]]&gt;100,"Medium","Low"))</f>
        <v>Low</v>
      </c>
    </row>
    <row r="117" spans="1:11" x14ac:dyDescent="0.45">
      <c r="A117">
        <v>3116</v>
      </c>
      <c r="B117" t="s">
        <v>55</v>
      </c>
      <c r="C117" t="s">
        <v>61</v>
      </c>
      <c r="D117" t="s">
        <v>22</v>
      </c>
      <c r="E117" t="s">
        <v>17</v>
      </c>
      <c r="F117">
        <v>1</v>
      </c>
      <c r="G117">
        <v>52</v>
      </c>
      <c r="H117" t="s">
        <v>13</v>
      </c>
      <c r="I117">
        <f t="shared" si="1"/>
        <v>52</v>
      </c>
      <c r="J117">
        <f>Table1[[#This Row],[total_revenue]] * 0.25</f>
        <v>13</v>
      </c>
      <c r="K117" t="str">
        <f>IF(Table1[[#This Row],[unit_price]]&gt;=500,"High",IF(Table1[[#This Row],[unit_price]]&gt;100,"Medium","Low"))</f>
        <v>Low</v>
      </c>
    </row>
    <row r="118" spans="1:11" x14ac:dyDescent="0.45">
      <c r="A118">
        <v>3117</v>
      </c>
      <c r="B118" t="s">
        <v>81</v>
      </c>
      <c r="C118" t="s">
        <v>35</v>
      </c>
      <c r="D118" t="s">
        <v>56</v>
      </c>
      <c r="E118" t="s">
        <v>17</v>
      </c>
      <c r="F118">
        <v>2</v>
      </c>
      <c r="G118">
        <v>873</v>
      </c>
      <c r="H118" t="s">
        <v>13</v>
      </c>
      <c r="I118">
        <f t="shared" si="1"/>
        <v>1746</v>
      </c>
      <c r="J118">
        <f>Table1[[#This Row],[total_revenue]] * 0.25</f>
        <v>436.5</v>
      </c>
      <c r="K118" t="str">
        <f>IF(Table1[[#This Row],[unit_price]]&gt;=500,"High",IF(Table1[[#This Row],[unit_price]]&gt;100,"Medium","Low"))</f>
        <v>High</v>
      </c>
    </row>
    <row r="119" spans="1:11" x14ac:dyDescent="0.45">
      <c r="A119">
        <v>3118</v>
      </c>
      <c r="B119" t="s">
        <v>114</v>
      </c>
      <c r="C119" t="s">
        <v>52</v>
      </c>
      <c r="D119" t="s">
        <v>11</v>
      </c>
      <c r="E119" t="s">
        <v>12</v>
      </c>
      <c r="F119">
        <v>5</v>
      </c>
      <c r="G119">
        <v>338</v>
      </c>
      <c r="H119" t="s">
        <v>13</v>
      </c>
      <c r="I119">
        <f t="shared" si="1"/>
        <v>1690</v>
      </c>
      <c r="J119">
        <f>Table1[[#This Row],[total_revenue]] * 0.25</f>
        <v>422.5</v>
      </c>
      <c r="K119" t="str">
        <f>IF(Table1[[#This Row],[unit_price]]&gt;=500,"High",IF(Table1[[#This Row],[unit_price]]&gt;100,"Medium","Low"))</f>
        <v>Medium</v>
      </c>
    </row>
    <row r="120" spans="1:11" x14ac:dyDescent="0.45">
      <c r="A120">
        <v>3119</v>
      </c>
      <c r="B120" t="s">
        <v>115</v>
      </c>
      <c r="C120" t="s">
        <v>61</v>
      </c>
      <c r="D120" t="s">
        <v>65</v>
      </c>
      <c r="E120" t="s">
        <v>17</v>
      </c>
      <c r="F120">
        <v>2</v>
      </c>
      <c r="G120">
        <v>44</v>
      </c>
      <c r="H120" t="s">
        <v>13</v>
      </c>
      <c r="I120">
        <f t="shared" si="1"/>
        <v>88</v>
      </c>
      <c r="J120">
        <f>Table1[[#This Row],[total_revenue]] * 0.25</f>
        <v>22</v>
      </c>
      <c r="K120" t="str">
        <f>IF(Table1[[#This Row],[unit_price]]&gt;=500,"High",IF(Table1[[#This Row],[unit_price]]&gt;100,"Medium","Low"))</f>
        <v>Low</v>
      </c>
    </row>
    <row r="121" spans="1:11" x14ac:dyDescent="0.45">
      <c r="A121">
        <v>3120</v>
      </c>
      <c r="B121" t="s">
        <v>76</v>
      </c>
      <c r="C121" t="s">
        <v>10</v>
      </c>
      <c r="D121" t="s">
        <v>38</v>
      </c>
      <c r="E121" t="s">
        <v>17</v>
      </c>
      <c r="F121">
        <v>6</v>
      </c>
      <c r="G121">
        <v>211</v>
      </c>
      <c r="H121" t="s">
        <v>13</v>
      </c>
      <c r="I121">
        <f t="shared" si="1"/>
        <v>1266</v>
      </c>
      <c r="J121">
        <f>Table1[[#This Row],[total_revenue]] * 0.25</f>
        <v>316.5</v>
      </c>
      <c r="K121" t="str">
        <f>IF(Table1[[#This Row],[unit_price]]&gt;=500,"High",IF(Table1[[#This Row],[unit_price]]&gt;100,"Medium","Low"))</f>
        <v>Medium</v>
      </c>
    </row>
    <row r="122" spans="1:11" x14ac:dyDescent="0.45">
      <c r="A122">
        <v>3121</v>
      </c>
      <c r="B122" t="s">
        <v>26</v>
      </c>
      <c r="C122" t="s">
        <v>15</v>
      </c>
      <c r="D122" t="s">
        <v>28</v>
      </c>
      <c r="E122" t="s">
        <v>17</v>
      </c>
      <c r="F122">
        <v>6</v>
      </c>
      <c r="G122">
        <v>68</v>
      </c>
      <c r="H122" t="s">
        <v>25</v>
      </c>
      <c r="I122">
        <f t="shared" si="1"/>
        <v>408</v>
      </c>
      <c r="J122">
        <f>Table1[[#This Row],[total_revenue]] * 0.25</f>
        <v>102</v>
      </c>
      <c r="K122" t="str">
        <f>IF(Table1[[#This Row],[unit_price]]&gt;=500,"High",IF(Table1[[#This Row],[unit_price]]&gt;100,"Medium","Low"))</f>
        <v>Low</v>
      </c>
    </row>
    <row r="123" spans="1:11" x14ac:dyDescent="0.45">
      <c r="A123">
        <v>3122</v>
      </c>
      <c r="B123" t="s">
        <v>116</v>
      </c>
      <c r="C123" t="s">
        <v>24</v>
      </c>
      <c r="D123" t="s">
        <v>65</v>
      </c>
      <c r="E123" t="s">
        <v>17</v>
      </c>
      <c r="F123">
        <v>1</v>
      </c>
      <c r="G123">
        <v>122</v>
      </c>
      <c r="H123" t="s">
        <v>20</v>
      </c>
      <c r="I123">
        <f t="shared" si="1"/>
        <v>122</v>
      </c>
      <c r="J123">
        <f>Table1[[#This Row],[total_revenue]] * 0.25</f>
        <v>30.5</v>
      </c>
      <c r="K123" t="str">
        <f>IF(Table1[[#This Row],[unit_price]]&gt;=500,"High",IF(Table1[[#This Row],[unit_price]]&gt;100,"Medium","Low"))</f>
        <v>Medium</v>
      </c>
    </row>
    <row r="124" spans="1:11" x14ac:dyDescent="0.45">
      <c r="A124">
        <v>3123</v>
      </c>
      <c r="B124" t="s">
        <v>117</v>
      </c>
      <c r="C124" t="s">
        <v>15</v>
      </c>
      <c r="D124" t="s">
        <v>56</v>
      </c>
      <c r="E124" t="s">
        <v>17</v>
      </c>
      <c r="F124">
        <v>1</v>
      </c>
      <c r="G124">
        <v>879</v>
      </c>
      <c r="H124" t="s">
        <v>25</v>
      </c>
      <c r="I124">
        <f t="shared" si="1"/>
        <v>879</v>
      </c>
      <c r="J124">
        <f>Table1[[#This Row],[total_revenue]] * 0.25</f>
        <v>219.75</v>
      </c>
      <c r="K124" t="str">
        <f>IF(Table1[[#This Row],[unit_price]]&gt;=500,"High",IF(Table1[[#This Row],[unit_price]]&gt;100,"Medium","Low"))</f>
        <v>High</v>
      </c>
    </row>
    <row r="125" spans="1:11" x14ac:dyDescent="0.45">
      <c r="A125">
        <v>3124</v>
      </c>
      <c r="B125" t="s">
        <v>118</v>
      </c>
      <c r="C125" t="s">
        <v>24</v>
      </c>
      <c r="D125" t="s">
        <v>36</v>
      </c>
      <c r="E125" t="s">
        <v>12</v>
      </c>
      <c r="F125">
        <v>2</v>
      </c>
      <c r="G125">
        <v>51</v>
      </c>
      <c r="H125" t="s">
        <v>13</v>
      </c>
      <c r="I125">
        <f t="shared" si="1"/>
        <v>102</v>
      </c>
      <c r="J125">
        <f>Table1[[#This Row],[total_revenue]] * 0.25</f>
        <v>25.5</v>
      </c>
      <c r="K125" t="str">
        <f>IF(Table1[[#This Row],[unit_price]]&gt;=500,"High",IF(Table1[[#This Row],[unit_price]]&gt;100,"Medium","Low"))</f>
        <v>Low</v>
      </c>
    </row>
    <row r="126" spans="1:11" x14ac:dyDescent="0.45">
      <c r="A126">
        <v>3125</v>
      </c>
      <c r="B126" t="s">
        <v>119</v>
      </c>
      <c r="C126" t="s">
        <v>43</v>
      </c>
      <c r="D126" t="s">
        <v>36</v>
      </c>
      <c r="E126" t="s">
        <v>12</v>
      </c>
      <c r="F126">
        <v>6</v>
      </c>
      <c r="G126">
        <v>73</v>
      </c>
      <c r="H126" t="s">
        <v>20</v>
      </c>
      <c r="I126">
        <f t="shared" si="1"/>
        <v>438</v>
      </c>
      <c r="J126">
        <f>Table1[[#This Row],[total_revenue]] * 0.25</f>
        <v>109.5</v>
      </c>
      <c r="K126" t="str">
        <f>IF(Table1[[#This Row],[unit_price]]&gt;=500,"High",IF(Table1[[#This Row],[unit_price]]&gt;100,"Medium","Low"))</f>
        <v>Low</v>
      </c>
    </row>
    <row r="127" spans="1:11" x14ac:dyDescent="0.45">
      <c r="A127">
        <v>3126</v>
      </c>
      <c r="B127" t="s">
        <v>120</v>
      </c>
      <c r="C127" t="s">
        <v>52</v>
      </c>
      <c r="D127" t="s">
        <v>11</v>
      </c>
      <c r="E127" t="s">
        <v>12</v>
      </c>
      <c r="F127">
        <v>1</v>
      </c>
      <c r="G127">
        <v>398</v>
      </c>
      <c r="H127" t="s">
        <v>13</v>
      </c>
      <c r="I127">
        <f t="shared" si="1"/>
        <v>398</v>
      </c>
      <c r="J127">
        <f>Table1[[#This Row],[total_revenue]] * 0.25</f>
        <v>99.5</v>
      </c>
      <c r="K127" t="str">
        <f>IF(Table1[[#This Row],[unit_price]]&gt;=500,"High",IF(Table1[[#This Row],[unit_price]]&gt;100,"Medium","Low"))</f>
        <v>Medium</v>
      </c>
    </row>
    <row r="128" spans="1:11" x14ac:dyDescent="0.45">
      <c r="A128">
        <v>3127</v>
      </c>
      <c r="B128" t="s">
        <v>120</v>
      </c>
      <c r="C128" t="s">
        <v>24</v>
      </c>
      <c r="D128" t="s">
        <v>22</v>
      </c>
      <c r="E128" t="s">
        <v>17</v>
      </c>
      <c r="F128">
        <v>2</v>
      </c>
      <c r="G128">
        <v>23</v>
      </c>
      <c r="H128" t="s">
        <v>25</v>
      </c>
      <c r="I128">
        <f t="shared" si="1"/>
        <v>46</v>
      </c>
      <c r="J128">
        <f>Table1[[#This Row],[total_revenue]] * 0.25</f>
        <v>11.5</v>
      </c>
      <c r="K128" t="str">
        <f>IF(Table1[[#This Row],[unit_price]]&gt;=500,"High",IF(Table1[[#This Row],[unit_price]]&gt;100,"Medium","Low"))</f>
        <v>Low</v>
      </c>
    </row>
    <row r="129" spans="1:11" x14ac:dyDescent="0.45">
      <c r="A129">
        <v>3128</v>
      </c>
      <c r="B129" t="s">
        <v>121</v>
      </c>
      <c r="C129" t="s">
        <v>10</v>
      </c>
      <c r="D129" t="s">
        <v>28</v>
      </c>
      <c r="E129" t="s">
        <v>17</v>
      </c>
      <c r="F129">
        <v>1</v>
      </c>
      <c r="G129">
        <v>26</v>
      </c>
      <c r="H129" t="s">
        <v>13</v>
      </c>
      <c r="I129">
        <f t="shared" si="1"/>
        <v>26</v>
      </c>
      <c r="J129">
        <f>Table1[[#This Row],[total_revenue]] * 0.25</f>
        <v>6.5</v>
      </c>
      <c r="K129" t="str">
        <f>IF(Table1[[#This Row],[unit_price]]&gt;=500,"High",IF(Table1[[#This Row],[unit_price]]&gt;100,"Medium","Low"))</f>
        <v>Low</v>
      </c>
    </row>
    <row r="130" spans="1:11" x14ac:dyDescent="0.45">
      <c r="A130">
        <v>3129</v>
      </c>
      <c r="B130" t="s">
        <v>122</v>
      </c>
      <c r="C130" t="s">
        <v>35</v>
      </c>
      <c r="D130" t="s">
        <v>38</v>
      </c>
      <c r="E130" t="s">
        <v>17</v>
      </c>
      <c r="F130">
        <v>6</v>
      </c>
      <c r="G130">
        <v>179</v>
      </c>
      <c r="H130" t="s">
        <v>25</v>
      </c>
      <c r="I130">
        <f t="shared" ref="I130:I193" si="2">F130*G130</f>
        <v>1074</v>
      </c>
      <c r="J130">
        <f>Table1[[#This Row],[total_revenue]] * 0.25</f>
        <v>268.5</v>
      </c>
      <c r="K130" t="str">
        <f>IF(Table1[[#This Row],[unit_price]]&gt;=500,"High",IF(Table1[[#This Row],[unit_price]]&gt;100,"Medium","Low"))</f>
        <v>Medium</v>
      </c>
    </row>
    <row r="131" spans="1:11" x14ac:dyDescent="0.45">
      <c r="A131">
        <v>3130</v>
      </c>
      <c r="B131" t="s">
        <v>123</v>
      </c>
      <c r="C131" t="s">
        <v>19</v>
      </c>
      <c r="D131" t="s">
        <v>36</v>
      </c>
      <c r="E131" t="s">
        <v>12</v>
      </c>
      <c r="F131">
        <v>5</v>
      </c>
      <c r="G131">
        <v>80</v>
      </c>
      <c r="H131" t="s">
        <v>13</v>
      </c>
      <c r="I131">
        <f t="shared" si="2"/>
        <v>400</v>
      </c>
      <c r="J131">
        <f>Table1[[#This Row],[total_revenue]] * 0.25</f>
        <v>100</v>
      </c>
      <c r="K131" t="str">
        <f>IF(Table1[[#This Row],[unit_price]]&gt;=500,"High",IF(Table1[[#This Row],[unit_price]]&gt;100,"Medium","Low"))</f>
        <v>Low</v>
      </c>
    </row>
    <row r="132" spans="1:11" x14ac:dyDescent="0.45">
      <c r="A132">
        <v>3131</v>
      </c>
      <c r="B132" t="s">
        <v>111</v>
      </c>
      <c r="C132" t="s">
        <v>52</v>
      </c>
      <c r="D132" t="s">
        <v>36</v>
      </c>
      <c r="E132" t="s">
        <v>12</v>
      </c>
      <c r="F132">
        <v>4</v>
      </c>
      <c r="G132">
        <v>120</v>
      </c>
      <c r="H132" t="s">
        <v>13</v>
      </c>
      <c r="I132">
        <f t="shared" si="2"/>
        <v>480</v>
      </c>
      <c r="J132">
        <f>Table1[[#This Row],[total_revenue]] * 0.25</f>
        <v>120</v>
      </c>
      <c r="K132" t="str">
        <f>IF(Table1[[#This Row],[unit_price]]&gt;=500,"High",IF(Table1[[#This Row],[unit_price]]&gt;100,"Medium","Low"))</f>
        <v>Medium</v>
      </c>
    </row>
    <row r="133" spans="1:11" x14ac:dyDescent="0.45">
      <c r="A133">
        <v>3132</v>
      </c>
      <c r="B133" t="s">
        <v>124</v>
      </c>
      <c r="C133" t="s">
        <v>24</v>
      </c>
      <c r="D133" t="s">
        <v>38</v>
      </c>
      <c r="E133" t="s">
        <v>17</v>
      </c>
      <c r="F133">
        <v>4</v>
      </c>
      <c r="G133">
        <v>230</v>
      </c>
      <c r="H133" t="s">
        <v>13</v>
      </c>
      <c r="I133">
        <f t="shared" si="2"/>
        <v>920</v>
      </c>
      <c r="J133">
        <f>Table1[[#This Row],[total_revenue]] * 0.25</f>
        <v>230</v>
      </c>
      <c r="K133" t="str">
        <f>IF(Table1[[#This Row],[unit_price]]&gt;=500,"High",IF(Table1[[#This Row],[unit_price]]&gt;100,"Medium","Low"))</f>
        <v>Medium</v>
      </c>
    </row>
    <row r="134" spans="1:11" x14ac:dyDescent="0.45">
      <c r="A134">
        <v>3133</v>
      </c>
      <c r="B134" t="s">
        <v>125</v>
      </c>
      <c r="C134" t="s">
        <v>19</v>
      </c>
      <c r="D134" t="s">
        <v>65</v>
      </c>
      <c r="E134" t="s">
        <v>17</v>
      </c>
      <c r="F134">
        <v>3</v>
      </c>
      <c r="G134">
        <v>36</v>
      </c>
      <c r="H134" t="s">
        <v>20</v>
      </c>
      <c r="I134">
        <f t="shared" si="2"/>
        <v>108</v>
      </c>
      <c r="J134">
        <f>Table1[[#This Row],[total_revenue]] * 0.25</f>
        <v>27</v>
      </c>
      <c r="K134" t="str">
        <f>IF(Table1[[#This Row],[unit_price]]&gt;=500,"High",IF(Table1[[#This Row],[unit_price]]&gt;100,"Medium","Low"))</f>
        <v>Low</v>
      </c>
    </row>
    <row r="135" spans="1:11" x14ac:dyDescent="0.45">
      <c r="A135">
        <v>3134</v>
      </c>
      <c r="B135" t="s">
        <v>69</v>
      </c>
      <c r="C135" t="s">
        <v>59</v>
      </c>
      <c r="D135" t="s">
        <v>16</v>
      </c>
      <c r="E135" t="s">
        <v>17</v>
      </c>
      <c r="F135">
        <v>2</v>
      </c>
      <c r="G135">
        <v>403</v>
      </c>
      <c r="H135" t="s">
        <v>25</v>
      </c>
      <c r="I135">
        <f t="shared" si="2"/>
        <v>806</v>
      </c>
      <c r="J135">
        <f>Table1[[#This Row],[total_revenue]] * 0.25</f>
        <v>201.5</v>
      </c>
      <c r="K135" t="str">
        <f>IF(Table1[[#This Row],[unit_price]]&gt;=500,"High",IF(Table1[[#This Row],[unit_price]]&gt;100,"Medium","Low"))</f>
        <v>Medium</v>
      </c>
    </row>
    <row r="136" spans="1:11" x14ac:dyDescent="0.45">
      <c r="A136">
        <v>3135</v>
      </c>
      <c r="B136" t="s">
        <v>26</v>
      </c>
      <c r="C136" t="s">
        <v>52</v>
      </c>
      <c r="D136" t="s">
        <v>28</v>
      </c>
      <c r="E136" t="s">
        <v>17</v>
      </c>
      <c r="F136">
        <v>6</v>
      </c>
      <c r="G136">
        <v>58</v>
      </c>
      <c r="H136" t="s">
        <v>25</v>
      </c>
      <c r="I136">
        <f t="shared" si="2"/>
        <v>348</v>
      </c>
      <c r="J136">
        <f>Table1[[#This Row],[total_revenue]] * 0.25</f>
        <v>87</v>
      </c>
      <c r="K136" t="str">
        <f>IF(Table1[[#This Row],[unit_price]]&gt;=500,"High",IF(Table1[[#This Row],[unit_price]]&gt;100,"Medium","Low"))</f>
        <v>Low</v>
      </c>
    </row>
    <row r="137" spans="1:11" x14ac:dyDescent="0.45">
      <c r="A137">
        <v>3136</v>
      </c>
      <c r="B137" t="s">
        <v>106</v>
      </c>
      <c r="C137" t="s">
        <v>30</v>
      </c>
      <c r="D137" t="s">
        <v>41</v>
      </c>
      <c r="E137" t="s">
        <v>12</v>
      </c>
      <c r="F137">
        <v>4</v>
      </c>
      <c r="G137">
        <v>346</v>
      </c>
      <c r="H137" t="s">
        <v>20</v>
      </c>
      <c r="I137">
        <f t="shared" si="2"/>
        <v>1384</v>
      </c>
      <c r="J137">
        <f>Table1[[#This Row],[total_revenue]] * 0.25</f>
        <v>346</v>
      </c>
      <c r="K137" t="str">
        <f>IF(Table1[[#This Row],[unit_price]]&gt;=500,"High",IF(Table1[[#This Row],[unit_price]]&gt;100,"Medium","Low"))</f>
        <v>Medium</v>
      </c>
    </row>
    <row r="138" spans="1:11" x14ac:dyDescent="0.45">
      <c r="A138">
        <v>3137</v>
      </c>
      <c r="B138" t="s">
        <v>126</v>
      </c>
      <c r="C138" t="s">
        <v>19</v>
      </c>
      <c r="D138" t="s">
        <v>11</v>
      </c>
      <c r="E138" t="s">
        <v>12</v>
      </c>
      <c r="F138">
        <v>1</v>
      </c>
      <c r="G138">
        <v>374</v>
      </c>
      <c r="H138" t="s">
        <v>13</v>
      </c>
      <c r="I138">
        <f t="shared" si="2"/>
        <v>374</v>
      </c>
      <c r="J138">
        <f>Table1[[#This Row],[total_revenue]] * 0.25</f>
        <v>93.5</v>
      </c>
      <c r="K138" t="str">
        <f>IF(Table1[[#This Row],[unit_price]]&gt;=500,"High",IF(Table1[[#This Row],[unit_price]]&gt;100,"Medium","Low"))</f>
        <v>Medium</v>
      </c>
    </row>
    <row r="139" spans="1:11" x14ac:dyDescent="0.45">
      <c r="A139">
        <v>3138</v>
      </c>
      <c r="B139" t="s">
        <v>127</v>
      </c>
      <c r="C139" t="s">
        <v>15</v>
      </c>
      <c r="D139" t="s">
        <v>16</v>
      </c>
      <c r="E139" t="s">
        <v>17</v>
      </c>
      <c r="F139">
        <v>2</v>
      </c>
      <c r="G139">
        <v>463</v>
      </c>
      <c r="H139" t="s">
        <v>25</v>
      </c>
      <c r="I139">
        <f t="shared" si="2"/>
        <v>926</v>
      </c>
      <c r="J139">
        <f>Table1[[#This Row],[total_revenue]] * 0.25</f>
        <v>231.5</v>
      </c>
      <c r="K139" t="str">
        <f>IF(Table1[[#This Row],[unit_price]]&gt;=500,"High",IF(Table1[[#This Row],[unit_price]]&gt;100,"Medium","Low"))</f>
        <v>Medium</v>
      </c>
    </row>
    <row r="140" spans="1:11" x14ac:dyDescent="0.45">
      <c r="A140">
        <v>3139</v>
      </c>
      <c r="B140" t="s">
        <v>84</v>
      </c>
      <c r="C140" t="s">
        <v>52</v>
      </c>
      <c r="D140" t="s">
        <v>38</v>
      </c>
      <c r="E140" t="s">
        <v>17</v>
      </c>
      <c r="F140">
        <v>3</v>
      </c>
      <c r="G140">
        <v>249</v>
      </c>
      <c r="H140" t="s">
        <v>13</v>
      </c>
      <c r="I140">
        <f t="shared" si="2"/>
        <v>747</v>
      </c>
      <c r="J140">
        <f>Table1[[#This Row],[total_revenue]] * 0.25</f>
        <v>186.75</v>
      </c>
      <c r="K140" t="str">
        <f>IF(Table1[[#This Row],[unit_price]]&gt;=500,"High",IF(Table1[[#This Row],[unit_price]]&gt;100,"Medium","Low"))</f>
        <v>Medium</v>
      </c>
    </row>
    <row r="141" spans="1:11" x14ac:dyDescent="0.45">
      <c r="A141">
        <v>3140</v>
      </c>
      <c r="B141" t="s">
        <v>128</v>
      </c>
      <c r="C141" t="s">
        <v>15</v>
      </c>
      <c r="D141" t="s">
        <v>28</v>
      </c>
      <c r="E141" t="s">
        <v>17</v>
      </c>
      <c r="F141">
        <v>5</v>
      </c>
      <c r="G141">
        <v>56</v>
      </c>
      <c r="H141" t="s">
        <v>13</v>
      </c>
      <c r="I141">
        <f t="shared" si="2"/>
        <v>280</v>
      </c>
      <c r="J141">
        <f>Table1[[#This Row],[total_revenue]] * 0.25</f>
        <v>70</v>
      </c>
      <c r="K141" t="str">
        <f>IF(Table1[[#This Row],[unit_price]]&gt;=500,"High",IF(Table1[[#This Row],[unit_price]]&gt;100,"Medium","Low"))</f>
        <v>Low</v>
      </c>
    </row>
    <row r="142" spans="1:11" x14ac:dyDescent="0.45">
      <c r="A142">
        <v>3141</v>
      </c>
      <c r="B142" t="s">
        <v>125</v>
      </c>
      <c r="C142" t="s">
        <v>59</v>
      </c>
      <c r="D142" t="s">
        <v>41</v>
      </c>
      <c r="E142" t="s">
        <v>12</v>
      </c>
      <c r="F142">
        <v>6</v>
      </c>
      <c r="G142">
        <v>260</v>
      </c>
      <c r="H142" t="s">
        <v>25</v>
      </c>
      <c r="I142">
        <f t="shared" si="2"/>
        <v>1560</v>
      </c>
      <c r="J142">
        <f>Table1[[#This Row],[total_revenue]] * 0.25</f>
        <v>390</v>
      </c>
      <c r="K142" t="str">
        <f>IF(Table1[[#This Row],[unit_price]]&gt;=500,"High",IF(Table1[[#This Row],[unit_price]]&gt;100,"Medium","Low"))</f>
        <v>Medium</v>
      </c>
    </row>
    <row r="143" spans="1:11" x14ac:dyDescent="0.45">
      <c r="A143">
        <v>3142</v>
      </c>
      <c r="B143" t="s">
        <v>116</v>
      </c>
      <c r="C143" t="s">
        <v>32</v>
      </c>
      <c r="D143" t="s">
        <v>28</v>
      </c>
      <c r="E143" t="s">
        <v>17</v>
      </c>
      <c r="F143">
        <v>2</v>
      </c>
      <c r="G143">
        <v>45</v>
      </c>
      <c r="H143" t="s">
        <v>20</v>
      </c>
      <c r="I143">
        <f t="shared" si="2"/>
        <v>90</v>
      </c>
      <c r="J143">
        <f>Table1[[#This Row],[total_revenue]] * 0.25</f>
        <v>22.5</v>
      </c>
      <c r="K143" t="str">
        <f>IF(Table1[[#This Row],[unit_price]]&gt;=500,"High",IF(Table1[[#This Row],[unit_price]]&gt;100,"Medium","Low"))</f>
        <v>Low</v>
      </c>
    </row>
    <row r="144" spans="1:11" x14ac:dyDescent="0.45">
      <c r="A144">
        <v>3143</v>
      </c>
      <c r="B144" t="s">
        <v>129</v>
      </c>
      <c r="C144" t="s">
        <v>27</v>
      </c>
      <c r="D144" t="s">
        <v>22</v>
      </c>
      <c r="E144" t="s">
        <v>17</v>
      </c>
      <c r="F144">
        <v>6</v>
      </c>
      <c r="G144">
        <v>21</v>
      </c>
      <c r="H144" t="s">
        <v>20</v>
      </c>
      <c r="I144">
        <f t="shared" si="2"/>
        <v>126</v>
      </c>
      <c r="J144">
        <f>Table1[[#This Row],[total_revenue]] * 0.25</f>
        <v>31.5</v>
      </c>
      <c r="K144" t="str">
        <f>IF(Table1[[#This Row],[unit_price]]&gt;=500,"High",IF(Table1[[#This Row],[unit_price]]&gt;100,"Medium","Low"))</f>
        <v>Low</v>
      </c>
    </row>
    <row r="145" spans="1:11" x14ac:dyDescent="0.45">
      <c r="A145">
        <v>3144</v>
      </c>
      <c r="B145" t="s">
        <v>130</v>
      </c>
      <c r="C145" t="s">
        <v>10</v>
      </c>
      <c r="D145" t="s">
        <v>28</v>
      </c>
      <c r="E145" t="s">
        <v>17</v>
      </c>
      <c r="F145">
        <v>3</v>
      </c>
      <c r="G145">
        <v>8</v>
      </c>
      <c r="H145" t="s">
        <v>25</v>
      </c>
      <c r="I145">
        <f t="shared" si="2"/>
        <v>24</v>
      </c>
      <c r="J145">
        <f>Table1[[#This Row],[total_revenue]] * 0.25</f>
        <v>6</v>
      </c>
      <c r="K145" t="str">
        <f>IF(Table1[[#This Row],[unit_price]]&gt;=500,"High",IF(Table1[[#This Row],[unit_price]]&gt;100,"Medium","Low"))</f>
        <v>Low</v>
      </c>
    </row>
    <row r="146" spans="1:11" x14ac:dyDescent="0.45">
      <c r="A146">
        <v>3145</v>
      </c>
      <c r="B146" t="s">
        <v>80</v>
      </c>
      <c r="C146" t="s">
        <v>52</v>
      </c>
      <c r="D146" t="s">
        <v>16</v>
      </c>
      <c r="E146" t="s">
        <v>17</v>
      </c>
      <c r="F146">
        <v>2</v>
      </c>
      <c r="G146">
        <v>409</v>
      </c>
      <c r="H146" t="s">
        <v>20</v>
      </c>
      <c r="I146">
        <f t="shared" si="2"/>
        <v>818</v>
      </c>
      <c r="J146">
        <f>Table1[[#This Row],[total_revenue]] * 0.25</f>
        <v>204.5</v>
      </c>
      <c r="K146" t="str">
        <f>IF(Table1[[#This Row],[unit_price]]&gt;=500,"High",IF(Table1[[#This Row],[unit_price]]&gt;100,"Medium","Low"))</f>
        <v>Medium</v>
      </c>
    </row>
    <row r="147" spans="1:11" x14ac:dyDescent="0.45">
      <c r="A147">
        <v>3146</v>
      </c>
      <c r="B147" t="s">
        <v>131</v>
      </c>
      <c r="C147" t="s">
        <v>10</v>
      </c>
      <c r="D147" t="s">
        <v>16</v>
      </c>
      <c r="E147" t="s">
        <v>17</v>
      </c>
      <c r="F147">
        <v>4</v>
      </c>
      <c r="G147">
        <v>483</v>
      </c>
      <c r="H147" t="s">
        <v>20</v>
      </c>
      <c r="I147">
        <f t="shared" si="2"/>
        <v>1932</v>
      </c>
      <c r="J147">
        <f>Table1[[#This Row],[total_revenue]] * 0.25</f>
        <v>483</v>
      </c>
      <c r="K147" t="str">
        <f>IF(Table1[[#This Row],[unit_price]]&gt;=500,"High",IF(Table1[[#This Row],[unit_price]]&gt;100,"Medium","Low"))</f>
        <v>Medium</v>
      </c>
    </row>
    <row r="148" spans="1:11" x14ac:dyDescent="0.45">
      <c r="A148">
        <v>3147</v>
      </c>
      <c r="B148" t="s">
        <v>97</v>
      </c>
      <c r="C148" t="s">
        <v>15</v>
      </c>
      <c r="D148" t="s">
        <v>41</v>
      </c>
      <c r="E148" t="s">
        <v>12</v>
      </c>
      <c r="F148">
        <v>3</v>
      </c>
      <c r="G148">
        <v>288</v>
      </c>
      <c r="H148" t="s">
        <v>25</v>
      </c>
      <c r="I148">
        <f t="shared" si="2"/>
        <v>864</v>
      </c>
      <c r="J148">
        <f>Table1[[#This Row],[total_revenue]] * 0.25</f>
        <v>216</v>
      </c>
      <c r="K148" t="str">
        <f>IF(Table1[[#This Row],[unit_price]]&gt;=500,"High",IF(Table1[[#This Row],[unit_price]]&gt;100,"Medium","Low"))</f>
        <v>Medium</v>
      </c>
    </row>
    <row r="149" spans="1:11" x14ac:dyDescent="0.45">
      <c r="A149">
        <v>3148</v>
      </c>
      <c r="B149" t="s">
        <v>132</v>
      </c>
      <c r="C149" t="s">
        <v>19</v>
      </c>
      <c r="D149" t="s">
        <v>65</v>
      </c>
      <c r="E149" t="s">
        <v>17</v>
      </c>
      <c r="F149">
        <v>5</v>
      </c>
      <c r="G149">
        <v>114</v>
      </c>
      <c r="H149" t="s">
        <v>13</v>
      </c>
      <c r="I149">
        <f t="shared" si="2"/>
        <v>570</v>
      </c>
      <c r="J149">
        <f>Table1[[#This Row],[total_revenue]] * 0.25</f>
        <v>142.5</v>
      </c>
      <c r="K149" t="str">
        <f>IF(Table1[[#This Row],[unit_price]]&gt;=500,"High",IF(Table1[[#This Row],[unit_price]]&gt;100,"Medium","Low"))</f>
        <v>Medium</v>
      </c>
    </row>
    <row r="150" spans="1:11" x14ac:dyDescent="0.45">
      <c r="A150">
        <v>3149</v>
      </c>
      <c r="B150" t="s">
        <v>133</v>
      </c>
      <c r="C150" t="s">
        <v>24</v>
      </c>
      <c r="D150" t="s">
        <v>36</v>
      </c>
      <c r="E150" t="s">
        <v>12</v>
      </c>
      <c r="F150">
        <v>5</v>
      </c>
      <c r="G150">
        <v>65</v>
      </c>
      <c r="H150" t="s">
        <v>25</v>
      </c>
      <c r="I150">
        <f t="shared" si="2"/>
        <v>325</v>
      </c>
      <c r="J150">
        <f>Table1[[#This Row],[total_revenue]] * 0.25</f>
        <v>81.25</v>
      </c>
      <c r="K150" t="str">
        <f>IF(Table1[[#This Row],[unit_price]]&gt;=500,"High",IF(Table1[[#This Row],[unit_price]]&gt;100,"Medium","Low"))</f>
        <v>Low</v>
      </c>
    </row>
    <row r="151" spans="1:11" x14ac:dyDescent="0.45">
      <c r="A151">
        <v>3150</v>
      </c>
      <c r="B151" t="s">
        <v>134</v>
      </c>
      <c r="C151" t="s">
        <v>27</v>
      </c>
      <c r="D151" t="s">
        <v>41</v>
      </c>
      <c r="E151" t="s">
        <v>12</v>
      </c>
      <c r="F151">
        <v>2</v>
      </c>
      <c r="G151">
        <v>270</v>
      </c>
      <c r="H151" t="s">
        <v>13</v>
      </c>
      <c r="I151">
        <f t="shared" si="2"/>
        <v>540</v>
      </c>
      <c r="J151">
        <f>Table1[[#This Row],[total_revenue]] * 0.25</f>
        <v>135</v>
      </c>
      <c r="K151" t="str">
        <f>IF(Table1[[#This Row],[unit_price]]&gt;=500,"High",IF(Table1[[#This Row],[unit_price]]&gt;100,"Medium","Low"))</f>
        <v>Medium</v>
      </c>
    </row>
    <row r="152" spans="1:11" x14ac:dyDescent="0.45">
      <c r="A152">
        <v>3151</v>
      </c>
      <c r="B152" t="s">
        <v>135</v>
      </c>
      <c r="C152" t="s">
        <v>61</v>
      </c>
      <c r="D152" t="s">
        <v>28</v>
      </c>
      <c r="E152" t="s">
        <v>17</v>
      </c>
      <c r="F152">
        <v>5</v>
      </c>
      <c r="G152">
        <v>32</v>
      </c>
      <c r="H152" t="s">
        <v>13</v>
      </c>
      <c r="I152">
        <f t="shared" si="2"/>
        <v>160</v>
      </c>
      <c r="J152">
        <f>Table1[[#This Row],[total_revenue]] * 0.25</f>
        <v>40</v>
      </c>
      <c r="K152" t="str">
        <f>IF(Table1[[#This Row],[unit_price]]&gt;=500,"High",IF(Table1[[#This Row],[unit_price]]&gt;100,"Medium","Low"))</f>
        <v>Low</v>
      </c>
    </row>
    <row r="153" spans="1:11" x14ac:dyDescent="0.45">
      <c r="A153">
        <v>3152</v>
      </c>
      <c r="B153" t="s">
        <v>18</v>
      </c>
      <c r="C153" t="s">
        <v>24</v>
      </c>
      <c r="D153" t="s">
        <v>38</v>
      </c>
      <c r="E153" t="s">
        <v>17</v>
      </c>
      <c r="F153">
        <v>4</v>
      </c>
      <c r="G153">
        <v>213</v>
      </c>
      <c r="H153" t="s">
        <v>13</v>
      </c>
      <c r="I153">
        <f t="shared" si="2"/>
        <v>852</v>
      </c>
      <c r="J153">
        <f>Table1[[#This Row],[total_revenue]] * 0.25</f>
        <v>213</v>
      </c>
      <c r="K153" t="str">
        <f>IF(Table1[[#This Row],[unit_price]]&gt;=500,"High",IF(Table1[[#This Row],[unit_price]]&gt;100,"Medium","Low"))</f>
        <v>Medium</v>
      </c>
    </row>
    <row r="154" spans="1:11" x14ac:dyDescent="0.45">
      <c r="A154">
        <v>3153</v>
      </c>
      <c r="B154" t="s">
        <v>136</v>
      </c>
      <c r="C154" t="s">
        <v>35</v>
      </c>
      <c r="D154" t="s">
        <v>11</v>
      </c>
      <c r="E154" t="s">
        <v>12</v>
      </c>
      <c r="F154">
        <v>3</v>
      </c>
      <c r="G154">
        <v>374</v>
      </c>
      <c r="H154" t="s">
        <v>25</v>
      </c>
      <c r="I154">
        <f t="shared" si="2"/>
        <v>1122</v>
      </c>
      <c r="J154">
        <f>Table1[[#This Row],[total_revenue]] * 0.25</f>
        <v>280.5</v>
      </c>
      <c r="K154" t="str">
        <f>IF(Table1[[#This Row],[unit_price]]&gt;=500,"High",IF(Table1[[#This Row],[unit_price]]&gt;100,"Medium","Low"))</f>
        <v>Medium</v>
      </c>
    </row>
    <row r="155" spans="1:11" x14ac:dyDescent="0.45">
      <c r="A155">
        <v>3154</v>
      </c>
      <c r="B155" t="s">
        <v>129</v>
      </c>
      <c r="C155" t="s">
        <v>10</v>
      </c>
      <c r="D155" t="s">
        <v>11</v>
      </c>
      <c r="E155" t="s">
        <v>12</v>
      </c>
      <c r="F155">
        <v>2</v>
      </c>
      <c r="G155">
        <v>313</v>
      </c>
      <c r="H155" t="s">
        <v>13</v>
      </c>
      <c r="I155">
        <f t="shared" si="2"/>
        <v>626</v>
      </c>
      <c r="J155">
        <f>Table1[[#This Row],[total_revenue]] * 0.25</f>
        <v>156.5</v>
      </c>
      <c r="K155" t="str">
        <f>IF(Table1[[#This Row],[unit_price]]&gt;=500,"High",IF(Table1[[#This Row],[unit_price]]&gt;100,"Medium","Low"))</f>
        <v>Medium</v>
      </c>
    </row>
    <row r="156" spans="1:11" x14ac:dyDescent="0.45">
      <c r="A156">
        <v>3155</v>
      </c>
      <c r="B156" t="s">
        <v>102</v>
      </c>
      <c r="C156" t="s">
        <v>19</v>
      </c>
      <c r="D156" t="s">
        <v>22</v>
      </c>
      <c r="E156" t="s">
        <v>17</v>
      </c>
      <c r="F156">
        <v>6</v>
      </c>
      <c r="G156">
        <v>62</v>
      </c>
      <c r="H156" t="s">
        <v>25</v>
      </c>
      <c r="I156">
        <f t="shared" si="2"/>
        <v>372</v>
      </c>
      <c r="J156">
        <f>Table1[[#This Row],[total_revenue]] * 0.25</f>
        <v>93</v>
      </c>
      <c r="K156" t="str">
        <f>IF(Table1[[#This Row],[unit_price]]&gt;=500,"High",IF(Table1[[#This Row],[unit_price]]&gt;100,"Medium","Low"))</f>
        <v>Low</v>
      </c>
    </row>
    <row r="157" spans="1:11" x14ac:dyDescent="0.45">
      <c r="A157">
        <v>3156</v>
      </c>
      <c r="B157" t="s">
        <v>29</v>
      </c>
      <c r="C157" t="s">
        <v>19</v>
      </c>
      <c r="D157" t="s">
        <v>22</v>
      </c>
      <c r="E157" t="s">
        <v>17</v>
      </c>
      <c r="F157">
        <v>5</v>
      </c>
      <c r="G157">
        <v>68</v>
      </c>
      <c r="H157" t="s">
        <v>20</v>
      </c>
      <c r="I157">
        <f t="shared" si="2"/>
        <v>340</v>
      </c>
      <c r="J157">
        <f>Table1[[#This Row],[total_revenue]] * 0.25</f>
        <v>85</v>
      </c>
      <c r="K157" t="str">
        <f>IF(Table1[[#This Row],[unit_price]]&gt;=500,"High",IF(Table1[[#This Row],[unit_price]]&gt;100,"Medium","Low"))</f>
        <v>Low</v>
      </c>
    </row>
    <row r="158" spans="1:11" x14ac:dyDescent="0.45">
      <c r="A158">
        <v>3157</v>
      </c>
      <c r="B158" t="s">
        <v>137</v>
      </c>
      <c r="C158" t="s">
        <v>24</v>
      </c>
      <c r="D158" t="s">
        <v>65</v>
      </c>
      <c r="E158" t="s">
        <v>17</v>
      </c>
      <c r="F158">
        <v>5</v>
      </c>
      <c r="G158">
        <v>110</v>
      </c>
      <c r="H158" t="s">
        <v>20</v>
      </c>
      <c r="I158">
        <f t="shared" si="2"/>
        <v>550</v>
      </c>
      <c r="J158">
        <f>Table1[[#This Row],[total_revenue]] * 0.25</f>
        <v>137.5</v>
      </c>
      <c r="K158" t="str">
        <f>IF(Table1[[#This Row],[unit_price]]&gt;=500,"High",IF(Table1[[#This Row],[unit_price]]&gt;100,"Medium","Low"))</f>
        <v>Medium</v>
      </c>
    </row>
    <row r="159" spans="1:11" x14ac:dyDescent="0.45">
      <c r="A159">
        <v>3158</v>
      </c>
      <c r="B159" t="s">
        <v>138</v>
      </c>
      <c r="C159" t="s">
        <v>61</v>
      </c>
      <c r="D159" t="s">
        <v>41</v>
      </c>
      <c r="E159" t="s">
        <v>12</v>
      </c>
      <c r="F159">
        <v>5</v>
      </c>
      <c r="G159">
        <v>287</v>
      </c>
      <c r="H159" t="s">
        <v>13</v>
      </c>
      <c r="I159">
        <f t="shared" si="2"/>
        <v>1435</v>
      </c>
      <c r="J159">
        <f>Table1[[#This Row],[total_revenue]] * 0.25</f>
        <v>358.75</v>
      </c>
      <c r="K159" t="str">
        <f>IF(Table1[[#This Row],[unit_price]]&gt;=500,"High",IF(Table1[[#This Row],[unit_price]]&gt;100,"Medium","Low"))</f>
        <v>Medium</v>
      </c>
    </row>
    <row r="160" spans="1:11" x14ac:dyDescent="0.45">
      <c r="A160">
        <v>3159</v>
      </c>
      <c r="B160" t="s">
        <v>63</v>
      </c>
      <c r="C160" t="s">
        <v>52</v>
      </c>
      <c r="D160" t="s">
        <v>11</v>
      </c>
      <c r="E160" t="s">
        <v>12</v>
      </c>
      <c r="F160">
        <v>6</v>
      </c>
      <c r="G160">
        <v>340</v>
      </c>
      <c r="H160" t="s">
        <v>13</v>
      </c>
      <c r="I160">
        <f t="shared" si="2"/>
        <v>2040</v>
      </c>
      <c r="J160">
        <f>Table1[[#This Row],[total_revenue]] * 0.25</f>
        <v>510</v>
      </c>
      <c r="K160" t="str">
        <f>IF(Table1[[#This Row],[unit_price]]&gt;=500,"High",IF(Table1[[#This Row],[unit_price]]&gt;100,"Medium","Low"))</f>
        <v>Medium</v>
      </c>
    </row>
    <row r="161" spans="1:11" x14ac:dyDescent="0.45">
      <c r="A161">
        <v>3160</v>
      </c>
      <c r="B161" t="s">
        <v>139</v>
      </c>
      <c r="C161" t="s">
        <v>52</v>
      </c>
      <c r="D161" t="s">
        <v>36</v>
      </c>
      <c r="E161" t="s">
        <v>12</v>
      </c>
      <c r="F161">
        <v>6</v>
      </c>
      <c r="G161">
        <v>116</v>
      </c>
      <c r="H161" t="s">
        <v>25</v>
      </c>
      <c r="I161">
        <f t="shared" si="2"/>
        <v>696</v>
      </c>
      <c r="J161">
        <f>Table1[[#This Row],[total_revenue]] * 0.25</f>
        <v>174</v>
      </c>
      <c r="K161" t="str">
        <f>IF(Table1[[#This Row],[unit_price]]&gt;=500,"High",IF(Table1[[#This Row],[unit_price]]&gt;100,"Medium","Low"))</f>
        <v>Medium</v>
      </c>
    </row>
    <row r="162" spans="1:11" x14ac:dyDescent="0.45">
      <c r="A162">
        <v>3161</v>
      </c>
      <c r="B162" t="s">
        <v>140</v>
      </c>
      <c r="C162" t="s">
        <v>19</v>
      </c>
      <c r="D162" t="s">
        <v>22</v>
      </c>
      <c r="E162" t="s">
        <v>17</v>
      </c>
      <c r="F162">
        <v>1</v>
      </c>
      <c r="G162">
        <v>51</v>
      </c>
      <c r="H162" t="s">
        <v>25</v>
      </c>
      <c r="I162">
        <f t="shared" si="2"/>
        <v>51</v>
      </c>
      <c r="J162">
        <f>Table1[[#This Row],[total_revenue]] * 0.25</f>
        <v>12.75</v>
      </c>
      <c r="K162" t="str">
        <f>IF(Table1[[#This Row],[unit_price]]&gt;=500,"High",IF(Table1[[#This Row],[unit_price]]&gt;100,"Medium","Low"))</f>
        <v>Low</v>
      </c>
    </row>
    <row r="163" spans="1:11" x14ac:dyDescent="0.45">
      <c r="A163">
        <v>3162</v>
      </c>
      <c r="B163" t="s">
        <v>33</v>
      </c>
      <c r="C163" t="s">
        <v>30</v>
      </c>
      <c r="D163" t="s">
        <v>38</v>
      </c>
      <c r="E163" t="s">
        <v>17</v>
      </c>
      <c r="F163">
        <v>1</v>
      </c>
      <c r="G163">
        <v>237</v>
      </c>
      <c r="H163" t="s">
        <v>13</v>
      </c>
      <c r="I163">
        <f t="shared" si="2"/>
        <v>237</v>
      </c>
      <c r="J163">
        <f>Table1[[#This Row],[total_revenue]] * 0.25</f>
        <v>59.25</v>
      </c>
      <c r="K163" t="str">
        <f>IF(Table1[[#This Row],[unit_price]]&gt;=500,"High",IF(Table1[[#This Row],[unit_price]]&gt;100,"Medium","Low"))</f>
        <v>Medium</v>
      </c>
    </row>
    <row r="164" spans="1:11" x14ac:dyDescent="0.45">
      <c r="A164">
        <v>3163</v>
      </c>
      <c r="B164" t="s">
        <v>141</v>
      </c>
      <c r="C164" t="s">
        <v>15</v>
      </c>
      <c r="D164" t="s">
        <v>11</v>
      </c>
      <c r="E164" t="s">
        <v>12</v>
      </c>
      <c r="F164">
        <v>4</v>
      </c>
      <c r="G164">
        <v>380</v>
      </c>
      <c r="H164" t="s">
        <v>20</v>
      </c>
      <c r="I164">
        <f t="shared" si="2"/>
        <v>1520</v>
      </c>
      <c r="J164">
        <f>Table1[[#This Row],[total_revenue]] * 0.25</f>
        <v>380</v>
      </c>
      <c r="K164" t="str">
        <f>IF(Table1[[#This Row],[unit_price]]&gt;=500,"High",IF(Table1[[#This Row],[unit_price]]&gt;100,"Medium","Low"))</f>
        <v>Medium</v>
      </c>
    </row>
    <row r="165" spans="1:11" x14ac:dyDescent="0.45">
      <c r="A165">
        <v>3164</v>
      </c>
      <c r="B165" t="s">
        <v>142</v>
      </c>
      <c r="C165" t="s">
        <v>30</v>
      </c>
      <c r="D165" t="s">
        <v>36</v>
      </c>
      <c r="E165" t="s">
        <v>12</v>
      </c>
      <c r="F165">
        <v>6</v>
      </c>
      <c r="G165">
        <v>122</v>
      </c>
      <c r="H165" t="s">
        <v>20</v>
      </c>
      <c r="I165">
        <f t="shared" si="2"/>
        <v>732</v>
      </c>
      <c r="J165">
        <f>Table1[[#This Row],[total_revenue]] * 0.25</f>
        <v>183</v>
      </c>
      <c r="K165" t="str">
        <f>IF(Table1[[#This Row],[unit_price]]&gt;=500,"High",IF(Table1[[#This Row],[unit_price]]&gt;100,"Medium","Low"))</f>
        <v>Medium</v>
      </c>
    </row>
    <row r="166" spans="1:11" x14ac:dyDescent="0.45">
      <c r="A166">
        <v>3165</v>
      </c>
      <c r="B166" t="s">
        <v>143</v>
      </c>
      <c r="C166" t="s">
        <v>32</v>
      </c>
      <c r="D166" t="s">
        <v>22</v>
      </c>
      <c r="E166" t="s">
        <v>17</v>
      </c>
      <c r="F166">
        <v>3</v>
      </c>
      <c r="G166">
        <v>15</v>
      </c>
      <c r="H166" t="s">
        <v>25</v>
      </c>
      <c r="I166">
        <f t="shared" si="2"/>
        <v>45</v>
      </c>
      <c r="J166">
        <f>Table1[[#This Row],[total_revenue]] * 0.25</f>
        <v>11.25</v>
      </c>
      <c r="K166" t="str">
        <f>IF(Table1[[#This Row],[unit_price]]&gt;=500,"High",IF(Table1[[#This Row],[unit_price]]&gt;100,"Medium","Low"))</f>
        <v>Low</v>
      </c>
    </row>
    <row r="167" spans="1:11" x14ac:dyDescent="0.45">
      <c r="A167">
        <v>3166</v>
      </c>
      <c r="B167" t="s">
        <v>23</v>
      </c>
      <c r="C167" t="s">
        <v>59</v>
      </c>
      <c r="D167" t="s">
        <v>16</v>
      </c>
      <c r="E167" t="s">
        <v>17</v>
      </c>
      <c r="F167">
        <v>5</v>
      </c>
      <c r="G167">
        <v>473</v>
      </c>
      <c r="H167" t="s">
        <v>25</v>
      </c>
      <c r="I167">
        <f t="shared" si="2"/>
        <v>2365</v>
      </c>
      <c r="J167">
        <f>Table1[[#This Row],[total_revenue]] * 0.25</f>
        <v>591.25</v>
      </c>
      <c r="K167" t="str">
        <f>IF(Table1[[#This Row],[unit_price]]&gt;=500,"High",IF(Table1[[#This Row],[unit_price]]&gt;100,"Medium","Low"))</f>
        <v>Medium</v>
      </c>
    </row>
    <row r="168" spans="1:11" x14ac:dyDescent="0.45">
      <c r="A168">
        <v>3167</v>
      </c>
      <c r="B168" t="s">
        <v>114</v>
      </c>
      <c r="C168" t="s">
        <v>52</v>
      </c>
      <c r="D168" t="s">
        <v>28</v>
      </c>
      <c r="E168" t="s">
        <v>17</v>
      </c>
      <c r="F168">
        <v>4</v>
      </c>
      <c r="G168">
        <v>13</v>
      </c>
      <c r="H168" t="s">
        <v>20</v>
      </c>
      <c r="I168">
        <f t="shared" si="2"/>
        <v>52</v>
      </c>
      <c r="J168">
        <f>Table1[[#This Row],[total_revenue]] * 0.25</f>
        <v>13</v>
      </c>
      <c r="K168" t="str">
        <f>IF(Table1[[#This Row],[unit_price]]&gt;=500,"High",IF(Table1[[#This Row],[unit_price]]&gt;100,"Medium","Low"))</f>
        <v>Low</v>
      </c>
    </row>
    <row r="169" spans="1:11" x14ac:dyDescent="0.45">
      <c r="A169">
        <v>3168</v>
      </c>
      <c r="B169" t="s">
        <v>77</v>
      </c>
      <c r="C169" t="s">
        <v>19</v>
      </c>
      <c r="D169" t="s">
        <v>22</v>
      </c>
      <c r="E169" t="s">
        <v>17</v>
      </c>
      <c r="F169">
        <v>3</v>
      </c>
      <c r="G169">
        <v>72</v>
      </c>
      <c r="H169" t="s">
        <v>20</v>
      </c>
      <c r="I169">
        <f t="shared" si="2"/>
        <v>216</v>
      </c>
      <c r="J169">
        <f>Table1[[#This Row],[total_revenue]] * 0.25</f>
        <v>54</v>
      </c>
      <c r="K169" t="str">
        <f>IF(Table1[[#This Row],[unit_price]]&gt;=500,"High",IF(Table1[[#This Row],[unit_price]]&gt;100,"Medium","Low"))</f>
        <v>Low</v>
      </c>
    </row>
    <row r="170" spans="1:11" x14ac:dyDescent="0.45">
      <c r="A170">
        <v>3169</v>
      </c>
      <c r="B170" t="s">
        <v>91</v>
      </c>
      <c r="C170" t="s">
        <v>35</v>
      </c>
      <c r="D170" t="s">
        <v>41</v>
      </c>
      <c r="E170" t="s">
        <v>12</v>
      </c>
      <c r="F170">
        <v>4</v>
      </c>
      <c r="G170">
        <v>276</v>
      </c>
      <c r="H170" t="s">
        <v>25</v>
      </c>
      <c r="I170">
        <f t="shared" si="2"/>
        <v>1104</v>
      </c>
      <c r="J170">
        <f>Table1[[#This Row],[total_revenue]] * 0.25</f>
        <v>276</v>
      </c>
      <c r="K170" t="str">
        <f>IF(Table1[[#This Row],[unit_price]]&gt;=500,"High",IF(Table1[[#This Row],[unit_price]]&gt;100,"Medium","Low"))</f>
        <v>Medium</v>
      </c>
    </row>
    <row r="171" spans="1:11" x14ac:dyDescent="0.45">
      <c r="A171">
        <v>3170</v>
      </c>
      <c r="B171" t="s">
        <v>14</v>
      </c>
      <c r="C171" t="s">
        <v>15</v>
      </c>
      <c r="D171" t="s">
        <v>41</v>
      </c>
      <c r="E171" t="s">
        <v>12</v>
      </c>
      <c r="F171">
        <v>4</v>
      </c>
      <c r="G171">
        <v>269</v>
      </c>
      <c r="H171" t="s">
        <v>25</v>
      </c>
      <c r="I171">
        <f t="shared" si="2"/>
        <v>1076</v>
      </c>
      <c r="J171">
        <f>Table1[[#This Row],[total_revenue]] * 0.25</f>
        <v>269</v>
      </c>
      <c r="K171" t="str">
        <f>IF(Table1[[#This Row],[unit_price]]&gt;=500,"High",IF(Table1[[#This Row],[unit_price]]&gt;100,"Medium","Low"))</f>
        <v>Medium</v>
      </c>
    </row>
    <row r="172" spans="1:11" x14ac:dyDescent="0.45">
      <c r="A172">
        <v>3171</v>
      </c>
      <c r="B172" t="s">
        <v>144</v>
      </c>
      <c r="C172" t="s">
        <v>30</v>
      </c>
      <c r="D172" t="s">
        <v>22</v>
      </c>
      <c r="E172" t="s">
        <v>17</v>
      </c>
      <c r="F172">
        <v>1</v>
      </c>
      <c r="G172">
        <v>6</v>
      </c>
      <c r="H172" t="s">
        <v>13</v>
      </c>
      <c r="I172">
        <f t="shared" si="2"/>
        <v>6</v>
      </c>
      <c r="J172">
        <f>Table1[[#This Row],[total_revenue]] * 0.25</f>
        <v>1.5</v>
      </c>
      <c r="K172" t="str">
        <f>IF(Table1[[#This Row],[unit_price]]&gt;=500,"High",IF(Table1[[#This Row],[unit_price]]&gt;100,"Medium","Low"))</f>
        <v>Low</v>
      </c>
    </row>
    <row r="173" spans="1:11" x14ac:dyDescent="0.45">
      <c r="A173">
        <v>3172</v>
      </c>
      <c r="B173" t="s">
        <v>40</v>
      </c>
      <c r="C173" t="s">
        <v>19</v>
      </c>
      <c r="D173" t="s">
        <v>36</v>
      </c>
      <c r="E173" t="s">
        <v>12</v>
      </c>
      <c r="F173">
        <v>1</v>
      </c>
      <c r="G173">
        <v>101</v>
      </c>
      <c r="H173" t="s">
        <v>13</v>
      </c>
      <c r="I173">
        <f t="shared" si="2"/>
        <v>101</v>
      </c>
      <c r="J173">
        <f>Table1[[#This Row],[total_revenue]] * 0.25</f>
        <v>25.25</v>
      </c>
      <c r="K173" t="str">
        <f>IF(Table1[[#This Row],[unit_price]]&gt;=500,"High",IF(Table1[[#This Row],[unit_price]]&gt;100,"Medium","Low"))</f>
        <v>Medium</v>
      </c>
    </row>
    <row r="174" spans="1:11" x14ac:dyDescent="0.45">
      <c r="A174">
        <v>3173</v>
      </c>
      <c r="B174" t="s">
        <v>141</v>
      </c>
      <c r="C174" t="s">
        <v>59</v>
      </c>
      <c r="D174" t="s">
        <v>11</v>
      </c>
      <c r="E174" t="s">
        <v>12</v>
      </c>
      <c r="F174">
        <v>5</v>
      </c>
      <c r="G174">
        <v>366</v>
      </c>
      <c r="H174" t="s">
        <v>13</v>
      </c>
      <c r="I174">
        <f t="shared" si="2"/>
        <v>1830</v>
      </c>
      <c r="J174">
        <f>Table1[[#This Row],[total_revenue]] * 0.25</f>
        <v>457.5</v>
      </c>
      <c r="K174" t="str">
        <f>IF(Table1[[#This Row],[unit_price]]&gt;=500,"High",IF(Table1[[#This Row],[unit_price]]&gt;100,"Medium","Low"))</f>
        <v>Medium</v>
      </c>
    </row>
    <row r="175" spans="1:11" x14ac:dyDescent="0.45">
      <c r="A175">
        <v>3174</v>
      </c>
      <c r="B175" t="s">
        <v>117</v>
      </c>
      <c r="C175" t="s">
        <v>19</v>
      </c>
      <c r="D175" t="s">
        <v>65</v>
      </c>
      <c r="E175" t="s">
        <v>17</v>
      </c>
      <c r="F175">
        <v>5</v>
      </c>
      <c r="G175">
        <v>61</v>
      </c>
      <c r="H175" t="s">
        <v>13</v>
      </c>
      <c r="I175">
        <f t="shared" si="2"/>
        <v>305</v>
      </c>
      <c r="J175">
        <f>Table1[[#This Row],[total_revenue]] * 0.25</f>
        <v>76.25</v>
      </c>
      <c r="K175" t="str">
        <f>IF(Table1[[#This Row],[unit_price]]&gt;=500,"High",IF(Table1[[#This Row],[unit_price]]&gt;100,"Medium","Low"))</f>
        <v>Low</v>
      </c>
    </row>
    <row r="176" spans="1:11" x14ac:dyDescent="0.45">
      <c r="A176">
        <v>3175</v>
      </c>
      <c r="B176" t="s">
        <v>145</v>
      </c>
      <c r="C176" t="s">
        <v>59</v>
      </c>
      <c r="D176" t="s">
        <v>41</v>
      </c>
      <c r="E176" t="s">
        <v>12</v>
      </c>
      <c r="F176">
        <v>4</v>
      </c>
      <c r="G176">
        <v>341</v>
      </c>
      <c r="H176" t="s">
        <v>13</v>
      </c>
      <c r="I176">
        <f t="shared" si="2"/>
        <v>1364</v>
      </c>
      <c r="J176">
        <f>Table1[[#This Row],[total_revenue]] * 0.25</f>
        <v>341</v>
      </c>
      <c r="K176" t="str">
        <f>IF(Table1[[#This Row],[unit_price]]&gt;=500,"High",IF(Table1[[#This Row],[unit_price]]&gt;100,"Medium","Low"))</f>
        <v>Medium</v>
      </c>
    </row>
    <row r="177" spans="1:11" x14ac:dyDescent="0.45">
      <c r="A177">
        <v>3176</v>
      </c>
      <c r="B177" t="s">
        <v>98</v>
      </c>
      <c r="C177" t="s">
        <v>10</v>
      </c>
      <c r="D177" t="s">
        <v>28</v>
      </c>
      <c r="E177" t="s">
        <v>17</v>
      </c>
      <c r="F177">
        <v>2</v>
      </c>
      <c r="G177">
        <v>-17</v>
      </c>
      <c r="H177" t="s">
        <v>20</v>
      </c>
      <c r="I177">
        <f t="shared" si="2"/>
        <v>-34</v>
      </c>
      <c r="J177">
        <f>Table1[[#This Row],[total_revenue]] * 0.25</f>
        <v>-8.5</v>
      </c>
      <c r="K177" t="str">
        <f>IF(Table1[[#This Row],[unit_price]]&gt;=500,"High",IF(Table1[[#This Row],[unit_price]]&gt;100,"Medium","Low"))</f>
        <v>Low</v>
      </c>
    </row>
    <row r="178" spans="1:11" x14ac:dyDescent="0.45">
      <c r="A178">
        <v>3177</v>
      </c>
      <c r="B178" t="s">
        <v>146</v>
      </c>
      <c r="C178" t="s">
        <v>19</v>
      </c>
      <c r="D178" t="s">
        <v>38</v>
      </c>
      <c r="E178" t="s">
        <v>17</v>
      </c>
      <c r="F178">
        <v>6</v>
      </c>
      <c r="G178">
        <v>230</v>
      </c>
      <c r="H178" t="s">
        <v>13</v>
      </c>
      <c r="I178">
        <f t="shared" si="2"/>
        <v>1380</v>
      </c>
      <c r="J178">
        <f>Table1[[#This Row],[total_revenue]] * 0.25</f>
        <v>345</v>
      </c>
      <c r="K178" t="str">
        <f>IF(Table1[[#This Row],[unit_price]]&gt;=500,"High",IF(Table1[[#This Row],[unit_price]]&gt;100,"Medium","Low"))</f>
        <v>Medium</v>
      </c>
    </row>
    <row r="179" spans="1:11" x14ac:dyDescent="0.45">
      <c r="A179">
        <v>3178</v>
      </c>
      <c r="B179" t="s">
        <v>110</v>
      </c>
      <c r="C179" t="s">
        <v>24</v>
      </c>
      <c r="D179" t="s">
        <v>28</v>
      </c>
      <c r="E179" t="s">
        <v>17</v>
      </c>
      <c r="F179">
        <v>3</v>
      </c>
      <c r="G179">
        <v>34</v>
      </c>
      <c r="H179" t="s">
        <v>20</v>
      </c>
      <c r="I179">
        <f t="shared" si="2"/>
        <v>102</v>
      </c>
      <c r="J179">
        <f>Table1[[#This Row],[total_revenue]] * 0.25</f>
        <v>25.5</v>
      </c>
      <c r="K179" t="str">
        <f>IF(Table1[[#This Row],[unit_price]]&gt;=500,"High",IF(Table1[[#This Row],[unit_price]]&gt;100,"Medium","Low"))</f>
        <v>Low</v>
      </c>
    </row>
    <row r="180" spans="1:11" x14ac:dyDescent="0.45">
      <c r="A180">
        <v>3179</v>
      </c>
      <c r="B180" t="s">
        <v>147</v>
      </c>
      <c r="C180" t="s">
        <v>61</v>
      </c>
      <c r="D180" t="s">
        <v>16</v>
      </c>
      <c r="E180" t="s">
        <v>17</v>
      </c>
      <c r="F180">
        <v>4</v>
      </c>
      <c r="G180">
        <v>423</v>
      </c>
      <c r="H180" t="s">
        <v>25</v>
      </c>
      <c r="I180">
        <f t="shared" si="2"/>
        <v>1692</v>
      </c>
      <c r="J180">
        <f>Table1[[#This Row],[total_revenue]] * 0.25</f>
        <v>423</v>
      </c>
      <c r="K180" t="str">
        <f>IF(Table1[[#This Row],[unit_price]]&gt;=500,"High",IF(Table1[[#This Row],[unit_price]]&gt;100,"Medium","Low"))</f>
        <v>Medium</v>
      </c>
    </row>
    <row r="181" spans="1:11" x14ac:dyDescent="0.45">
      <c r="A181">
        <v>3180</v>
      </c>
      <c r="B181" t="s">
        <v>14</v>
      </c>
      <c r="C181" t="s">
        <v>32</v>
      </c>
      <c r="D181" t="s">
        <v>38</v>
      </c>
      <c r="E181" t="s">
        <v>17</v>
      </c>
      <c r="F181">
        <v>4</v>
      </c>
      <c r="G181">
        <v>232</v>
      </c>
      <c r="H181" t="s">
        <v>13</v>
      </c>
      <c r="I181">
        <f t="shared" si="2"/>
        <v>928</v>
      </c>
      <c r="J181">
        <f>Table1[[#This Row],[total_revenue]] * 0.25</f>
        <v>232</v>
      </c>
      <c r="K181" t="str">
        <f>IF(Table1[[#This Row],[unit_price]]&gt;=500,"High",IF(Table1[[#This Row],[unit_price]]&gt;100,"Medium","Low"))</f>
        <v>Medium</v>
      </c>
    </row>
    <row r="182" spans="1:11" x14ac:dyDescent="0.45">
      <c r="A182">
        <v>3181</v>
      </c>
      <c r="B182" t="s">
        <v>148</v>
      </c>
      <c r="C182" t="s">
        <v>35</v>
      </c>
      <c r="D182" t="s">
        <v>36</v>
      </c>
      <c r="E182" t="s">
        <v>12</v>
      </c>
      <c r="F182">
        <v>4</v>
      </c>
      <c r="G182">
        <v>66</v>
      </c>
      <c r="H182" t="s">
        <v>25</v>
      </c>
      <c r="I182">
        <f t="shared" si="2"/>
        <v>264</v>
      </c>
      <c r="J182">
        <f>Table1[[#This Row],[total_revenue]] * 0.25</f>
        <v>66</v>
      </c>
      <c r="K182" t="str">
        <f>IF(Table1[[#This Row],[unit_price]]&gt;=500,"High",IF(Table1[[#This Row],[unit_price]]&gt;100,"Medium","Low"))</f>
        <v>Low</v>
      </c>
    </row>
    <row r="183" spans="1:11" x14ac:dyDescent="0.45">
      <c r="A183">
        <v>3182</v>
      </c>
      <c r="B183" t="s">
        <v>113</v>
      </c>
      <c r="C183" t="s">
        <v>19</v>
      </c>
      <c r="D183" t="s">
        <v>65</v>
      </c>
      <c r="E183" t="s">
        <v>17</v>
      </c>
      <c r="F183">
        <v>6</v>
      </c>
      <c r="G183">
        <v>92</v>
      </c>
      <c r="H183" t="s">
        <v>13</v>
      </c>
      <c r="I183">
        <f t="shared" si="2"/>
        <v>552</v>
      </c>
      <c r="J183">
        <f>Table1[[#This Row],[total_revenue]] * 0.25</f>
        <v>138</v>
      </c>
      <c r="K183" t="str">
        <f>IF(Table1[[#This Row],[unit_price]]&gt;=500,"High",IF(Table1[[#This Row],[unit_price]]&gt;100,"Medium","Low"))</f>
        <v>Low</v>
      </c>
    </row>
    <row r="184" spans="1:11" x14ac:dyDescent="0.45">
      <c r="A184">
        <v>3183</v>
      </c>
      <c r="B184" t="s">
        <v>149</v>
      </c>
      <c r="C184" t="s">
        <v>61</v>
      </c>
      <c r="D184" t="s">
        <v>22</v>
      </c>
      <c r="E184" t="s">
        <v>17</v>
      </c>
      <c r="F184">
        <v>5</v>
      </c>
      <c r="G184">
        <v>36</v>
      </c>
      <c r="H184" t="s">
        <v>20</v>
      </c>
      <c r="I184">
        <f t="shared" si="2"/>
        <v>180</v>
      </c>
      <c r="J184">
        <f>Table1[[#This Row],[total_revenue]] * 0.25</f>
        <v>45</v>
      </c>
      <c r="K184" t="str">
        <f>IF(Table1[[#This Row],[unit_price]]&gt;=500,"High",IF(Table1[[#This Row],[unit_price]]&gt;100,"Medium","Low"))</f>
        <v>Low</v>
      </c>
    </row>
    <row r="185" spans="1:11" x14ac:dyDescent="0.45">
      <c r="A185">
        <v>3184</v>
      </c>
      <c r="B185" t="s">
        <v>71</v>
      </c>
      <c r="C185" t="s">
        <v>35</v>
      </c>
      <c r="D185" t="s">
        <v>11</v>
      </c>
      <c r="E185" t="s">
        <v>12</v>
      </c>
      <c r="F185">
        <v>3</v>
      </c>
      <c r="G185">
        <v>325</v>
      </c>
      <c r="H185" t="s">
        <v>13</v>
      </c>
      <c r="I185">
        <f t="shared" si="2"/>
        <v>975</v>
      </c>
      <c r="J185">
        <f>Table1[[#This Row],[total_revenue]] * 0.25</f>
        <v>243.75</v>
      </c>
      <c r="K185" t="str">
        <f>IF(Table1[[#This Row],[unit_price]]&gt;=500,"High",IF(Table1[[#This Row],[unit_price]]&gt;100,"Medium","Low"))</f>
        <v>Medium</v>
      </c>
    </row>
    <row r="186" spans="1:11" x14ac:dyDescent="0.45">
      <c r="A186">
        <v>3185</v>
      </c>
      <c r="B186" t="s">
        <v>26</v>
      </c>
      <c r="C186" t="s">
        <v>15</v>
      </c>
      <c r="D186" t="s">
        <v>28</v>
      </c>
      <c r="E186" t="s">
        <v>17</v>
      </c>
      <c r="F186">
        <v>6</v>
      </c>
      <c r="G186">
        <v>37</v>
      </c>
      <c r="H186" t="s">
        <v>25</v>
      </c>
      <c r="I186">
        <f t="shared" si="2"/>
        <v>222</v>
      </c>
      <c r="J186">
        <f>Table1[[#This Row],[total_revenue]] * 0.25</f>
        <v>55.5</v>
      </c>
      <c r="K186" t="str">
        <f>IF(Table1[[#This Row],[unit_price]]&gt;=500,"High",IF(Table1[[#This Row],[unit_price]]&gt;100,"Medium","Low"))</f>
        <v>Low</v>
      </c>
    </row>
    <row r="187" spans="1:11" x14ac:dyDescent="0.45">
      <c r="A187">
        <v>3186</v>
      </c>
      <c r="B187" t="s">
        <v>150</v>
      </c>
      <c r="C187" t="s">
        <v>52</v>
      </c>
      <c r="D187" t="s">
        <v>11</v>
      </c>
      <c r="E187" t="s">
        <v>12</v>
      </c>
      <c r="F187">
        <v>3</v>
      </c>
      <c r="G187">
        <v>309</v>
      </c>
      <c r="H187" t="s">
        <v>20</v>
      </c>
      <c r="I187">
        <f t="shared" si="2"/>
        <v>927</v>
      </c>
      <c r="J187">
        <f>Table1[[#This Row],[total_revenue]] * 0.25</f>
        <v>231.75</v>
      </c>
      <c r="K187" t="str">
        <f>IF(Table1[[#This Row],[unit_price]]&gt;=500,"High",IF(Table1[[#This Row],[unit_price]]&gt;100,"Medium","Low"))</f>
        <v>Medium</v>
      </c>
    </row>
    <row r="188" spans="1:11" x14ac:dyDescent="0.45">
      <c r="A188">
        <v>3187</v>
      </c>
      <c r="B188" t="s">
        <v>143</v>
      </c>
      <c r="C188" t="s">
        <v>27</v>
      </c>
      <c r="D188" t="s">
        <v>56</v>
      </c>
      <c r="E188" t="s">
        <v>17</v>
      </c>
      <c r="F188">
        <v>1</v>
      </c>
      <c r="G188">
        <v>860</v>
      </c>
      <c r="H188" t="s">
        <v>20</v>
      </c>
      <c r="I188">
        <f t="shared" si="2"/>
        <v>860</v>
      </c>
      <c r="J188">
        <f>Table1[[#This Row],[total_revenue]] * 0.25</f>
        <v>215</v>
      </c>
      <c r="K188" t="str">
        <f>IF(Table1[[#This Row],[unit_price]]&gt;=500,"High",IF(Table1[[#This Row],[unit_price]]&gt;100,"Medium","Low"))</f>
        <v>High</v>
      </c>
    </row>
    <row r="189" spans="1:11" x14ac:dyDescent="0.45">
      <c r="A189">
        <v>3188</v>
      </c>
      <c r="B189" t="s">
        <v>63</v>
      </c>
      <c r="C189" t="s">
        <v>35</v>
      </c>
      <c r="D189" t="s">
        <v>28</v>
      </c>
      <c r="E189" t="s">
        <v>17</v>
      </c>
      <c r="F189">
        <v>4</v>
      </c>
      <c r="G189">
        <v>26</v>
      </c>
      <c r="H189" t="s">
        <v>13</v>
      </c>
      <c r="I189">
        <f t="shared" si="2"/>
        <v>104</v>
      </c>
      <c r="J189">
        <f>Table1[[#This Row],[total_revenue]] * 0.25</f>
        <v>26</v>
      </c>
      <c r="K189" t="str">
        <f>IF(Table1[[#This Row],[unit_price]]&gt;=500,"High",IF(Table1[[#This Row],[unit_price]]&gt;100,"Medium","Low"))</f>
        <v>Low</v>
      </c>
    </row>
    <row r="190" spans="1:11" x14ac:dyDescent="0.45">
      <c r="A190">
        <v>3189</v>
      </c>
      <c r="B190" t="s">
        <v>33</v>
      </c>
      <c r="C190" t="s">
        <v>24</v>
      </c>
      <c r="D190" t="s">
        <v>28</v>
      </c>
      <c r="E190" t="s">
        <v>17</v>
      </c>
      <c r="F190">
        <v>1</v>
      </c>
      <c r="G190">
        <v>38</v>
      </c>
      <c r="H190" t="s">
        <v>13</v>
      </c>
      <c r="I190">
        <f t="shared" si="2"/>
        <v>38</v>
      </c>
      <c r="J190">
        <f>Table1[[#This Row],[total_revenue]] * 0.25</f>
        <v>9.5</v>
      </c>
      <c r="K190" t="str">
        <f>IF(Table1[[#This Row],[unit_price]]&gt;=500,"High",IF(Table1[[#This Row],[unit_price]]&gt;100,"Medium","Low"))</f>
        <v>Low</v>
      </c>
    </row>
    <row r="191" spans="1:11" x14ac:dyDescent="0.45">
      <c r="A191">
        <v>3190</v>
      </c>
      <c r="B191" t="s">
        <v>151</v>
      </c>
      <c r="C191" t="s">
        <v>19</v>
      </c>
      <c r="D191" t="s">
        <v>22</v>
      </c>
      <c r="E191" t="s">
        <v>17</v>
      </c>
      <c r="F191">
        <v>3</v>
      </c>
      <c r="G191">
        <v>30</v>
      </c>
      <c r="H191" t="s">
        <v>20</v>
      </c>
      <c r="I191">
        <f t="shared" si="2"/>
        <v>90</v>
      </c>
      <c r="J191">
        <f>Table1[[#This Row],[total_revenue]] * 0.25</f>
        <v>22.5</v>
      </c>
      <c r="K191" t="str">
        <f>IF(Table1[[#This Row],[unit_price]]&gt;=500,"High",IF(Table1[[#This Row],[unit_price]]&gt;100,"Medium","Low"))</f>
        <v>Low</v>
      </c>
    </row>
    <row r="192" spans="1:11" x14ac:dyDescent="0.45">
      <c r="A192">
        <v>3191</v>
      </c>
      <c r="B192" t="s">
        <v>26</v>
      </c>
      <c r="C192" t="s">
        <v>15</v>
      </c>
      <c r="D192" t="s">
        <v>56</v>
      </c>
      <c r="E192" t="s">
        <v>17</v>
      </c>
      <c r="F192">
        <v>4</v>
      </c>
      <c r="G192">
        <v>900</v>
      </c>
      <c r="H192" t="s">
        <v>20</v>
      </c>
      <c r="I192">
        <f t="shared" si="2"/>
        <v>3600</v>
      </c>
      <c r="J192">
        <f>Table1[[#This Row],[total_revenue]] * 0.25</f>
        <v>900</v>
      </c>
      <c r="K192" t="str">
        <f>IF(Table1[[#This Row],[unit_price]]&gt;=500,"High",IF(Table1[[#This Row],[unit_price]]&gt;100,"Medium","Low"))</f>
        <v>High</v>
      </c>
    </row>
    <row r="193" spans="1:11" x14ac:dyDescent="0.45">
      <c r="A193">
        <v>3192</v>
      </c>
      <c r="B193" t="s">
        <v>152</v>
      </c>
      <c r="C193" t="s">
        <v>27</v>
      </c>
      <c r="D193" t="s">
        <v>38</v>
      </c>
      <c r="E193" t="s">
        <v>17</v>
      </c>
      <c r="F193">
        <v>4</v>
      </c>
      <c r="G193">
        <v>216</v>
      </c>
      <c r="H193" t="s">
        <v>20</v>
      </c>
      <c r="I193">
        <f t="shared" si="2"/>
        <v>864</v>
      </c>
      <c r="J193">
        <f>Table1[[#This Row],[total_revenue]] * 0.25</f>
        <v>216</v>
      </c>
      <c r="K193" t="str">
        <f>IF(Table1[[#This Row],[unit_price]]&gt;=500,"High",IF(Table1[[#This Row],[unit_price]]&gt;100,"Medium","Low"))</f>
        <v>Medium</v>
      </c>
    </row>
    <row r="194" spans="1:11" x14ac:dyDescent="0.45">
      <c r="A194">
        <v>3193</v>
      </c>
      <c r="B194" t="s">
        <v>89</v>
      </c>
      <c r="C194" t="s">
        <v>10</v>
      </c>
      <c r="D194" t="s">
        <v>16</v>
      </c>
      <c r="E194" t="s">
        <v>17</v>
      </c>
      <c r="F194">
        <v>4</v>
      </c>
      <c r="G194">
        <v>463</v>
      </c>
      <c r="H194" t="s">
        <v>13</v>
      </c>
      <c r="I194">
        <f t="shared" ref="I194:I257" si="3">F194*G194</f>
        <v>1852</v>
      </c>
      <c r="J194">
        <f>Table1[[#This Row],[total_revenue]] * 0.25</f>
        <v>463</v>
      </c>
      <c r="K194" t="str">
        <f>IF(Table1[[#This Row],[unit_price]]&gt;=500,"High",IF(Table1[[#This Row],[unit_price]]&gt;100,"Medium","Low"))</f>
        <v>Medium</v>
      </c>
    </row>
    <row r="195" spans="1:11" x14ac:dyDescent="0.45">
      <c r="A195">
        <v>3194</v>
      </c>
      <c r="B195" t="s">
        <v>137</v>
      </c>
      <c r="C195" t="s">
        <v>59</v>
      </c>
      <c r="D195" t="s">
        <v>41</v>
      </c>
      <c r="E195" t="s">
        <v>12</v>
      </c>
      <c r="F195">
        <v>1</v>
      </c>
      <c r="G195">
        <v>275</v>
      </c>
      <c r="H195" t="s">
        <v>20</v>
      </c>
      <c r="I195">
        <f t="shared" si="3"/>
        <v>275</v>
      </c>
      <c r="J195">
        <f>Table1[[#This Row],[total_revenue]] * 0.25</f>
        <v>68.75</v>
      </c>
      <c r="K195" t="str">
        <f>IF(Table1[[#This Row],[unit_price]]&gt;=500,"High",IF(Table1[[#This Row],[unit_price]]&gt;100,"Medium","Low"))</f>
        <v>Medium</v>
      </c>
    </row>
    <row r="196" spans="1:11" x14ac:dyDescent="0.45">
      <c r="A196">
        <v>3195</v>
      </c>
      <c r="B196" t="s">
        <v>127</v>
      </c>
      <c r="C196" t="s">
        <v>32</v>
      </c>
      <c r="D196" t="s">
        <v>11</v>
      </c>
      <c r="E196" t="s">
        <v>12</v>
      </c>
      <c r="F196">
        <v>6</v>
      </c>
      <c r="G196">
        <v>360</v>
      </c>
      <c r="H196" t="s">
        <v>20</v>
      </c>
      <c r="I196">
        <f t="shared" si="3"/>
        <v>2160</v>
      </c>
      <c r="J196">
        <f>Table1[[#This Row],[total_revenue]] * 0.25</f>
        <v>540</v>
      </c>
      <c r="K196" t="str">
        <f>IF(Table1[[#This Row],[unit_price]]&gt;=500,"High",IF(Table1[[#This Row],[unit_price]]&gt;100,"Medium","Low"))</f>
        <v>Medium</v>
      </c>
    </row>
    <row r="197" spans="1:11" x14ac:dyDescent="0.45">
      <c r="A197">
        <v>3196</v>
      </c>
      <c r="B197" t="s">
        <v>104</v>
      </c>
      <c r="C197" t="s">
        <v>59</v>
      </c>
      <c r="D197" t="s">
        <v>41</v>
      </c>
      <c r="E197" t="s">
        <v>12</v>
      </c>
      <c r="F197">
        <v>6</v>
      </c>
      <c r="G197">
        <v>307</v>
      </c>
      <c r="H197" t="s">
        <v>25</v>
      </c>
      <c r="I197">
        <f t="shared" si="3"/>
        <v>1842</v>
      </c>
      <c r="J197">
        <f>Table1[[#This Row],[total_revenue]] * 0.25</f>
        <v>460.5</v>
      </c>
      <c r="K197" t="str">
        <f>IF(Table1[[#This Row],[unit_price]]&gt;=500,"High",IF(Table1[[#This Row],[unit_price]]&gt;100,"Medium","Low"))</f>
        <v>Medium</v>
      </c>
    </row>
    <row r="198" spans="1:11" x14ac:dyDescent="0.45">
      <c r="A198">
        <v>3197</v>
      </c>
      <c r="B198" t="s">
        <v>149</v>
      </c>
      <c r="C198" t="s">
        <v>35</v>
      </c>
      <c r="D198" t="s">
        <v>41</v>
      </c>
      <c r="E198" t="s">
        <v>12</v>
      </c>
      <c r="F198">
        <v>2</v>
      </c>
      <c r="G198">
        <v>302</v>
      </c>
      <c r="H198" t="s">
        <v>25</v>
      </c>
      <c r="I198">
        <f t="shared" si="3"/>
        <v>604</v>
      </c>
      <c r="J198">
        <f>Table1[[#This Row],[total_revenue]] * 0.25</f>
        <v>151</v>
      </c>
      <c r="K198" t="str">
        <f>IF(Table1[[#This Row],[unit_price]]&gt;=500,"High",IF(Table1[[#This Row],[unit_price]]&gt;100,"Medium","Low"))</f>
        <v>Medium</v>
      </c>
    </row>
    <row r="199" spans="1:11" x14ac:dyDescent="0.45">
      <c r="A199">
        <v>3198</v>
      </c>
      <c r="B199" t="s">
        <v>85</v>
      </c>
      <c r="C199" t="s">
        <v>35</v>
      </c>
      <c r="D199" t="s">
        <v>41</v>
      </c>
      <c r="E199" t="s">
        <v>12</v>
      </c>
      <c r="F199">
        <v>5</v>
      </c>
      <c r="G199">
        <v>342</v>
      </c>
      <c r="H199" t="s">
        <v>20</v>
      </c>
      <c r="I199">
        <f t="shared" si="3"/>
        <v>1710</v>
      </c>
      <c r="J199">
        <f>Table1[[#This Row],[total_revenue]] * 0.25</f>
        <v>427.5</v>
      </c>
      <c r="K199" t="str">
        <f>IF(Table1[[#This Row],[unit_price]]&gt;=500,"High",IF(Table1[[#This Row],[unit_price]]&gt;100,"Medium","Low"))</f>
        <v>Medium</v>
      </c>
    </row>
    <row r="200" spans="1:11" x14ac:dyDescent="0.45">
      <c r="A200">
        <v>3199</v>
      </c>
      <c r="B200" t="s">
        <v>66</v>
      </c>
      <c r="C200" t="s">
        <v>19</v>
      </c>
      <c r="D200" t="s">
        <v>41</v>
      </c>
      <c r="E200" t="s">
        <v>12</v>
      </c>
      <c r="F200">
        <v>4</v>
      </c>
      <c r="G200">
        <v>317</v>
      </c>
      <c r="H200" t="s">
        <v>20</v>
      </c>
      <c r="I200">
        <f t="shared" si="3"/>
        <v>1268</v>
      </c>
      <c r="J200">
        <f>Table1[[#This Row],[total_revenue]] * 0.25</f>
        <v>317</v>
      </c>
      <c r="K200" t="str">
        <f>IF(Table1[[#This Row],[unit_price]]&gt;=500,"High",IF(Table1[[#This Row],[unit_price]]&gt;100,"Medium","Low"))</f>
        <v>Medium</v>
      </c>
    </row>
    <row r="201" spans="1:11" x14ac:dyDescent="0.45">
      <c r="A201">
        <v>3200</v>
      </c>
      <c r="B201" t="s">
        <v>57</v>
      </c>
      <c r="C201" t="s">
        <v>59</v>
      </c>
      <c r="D201" t="s">
        <v>56</v>
      </c>
      <c r="E201" t="s">
        <v>17</v>
      </c>
      <c r="F201">
        <v>2</v>
      </c>
      <c r="G201">
        <v>944</v>
      </c>
      <c r="H201" t="s">
        <v>20</v>
      </c>
      <c r="I201">
        <f t="shared" si="3"/>
        <v>1888</v>
      </c>
      <c r="J201">
        <f>Table1[[#This Row],[total_revenue]] * 0.25</f>
        <v>472</v>
      </c>
      <c r="K201" t="str">
        <f>IF(Table1[[#This Row],[unit_price]]&gt;=500,"High",IF(Table1[[#This Row],[unit_price]]&gt;100,"Medium","Low"))</f>
        <v>High</v>
      </c>
    </row>
    <row r="202" spans="1:11" x14ac:dyDescent="0.45">
      <c r="A202">
        <v>3201</v>
      </c>
      <c r="B202" t="s">
        <v>153</v>
      </c>
      <c r="C202" t="s">
        <v>19</v>
      </c>
      <c r="D202" t="s">
        <v>38</v>
      </c>
      <c r="E202" t="s">
        <v>17</v>
      </c>
      <c r="F202">
        <v>1</v>
      </c>
      <c r="G202">
        <v>175</v>
      </c>
      <c r="H202" t="s">
        <v>25</v>
      </c>
      <c r="I202">
        <f t="shared" si="3"/>
        <v>175</v>
      </c>
      <c r="J202">
        <f>Table1[[#This Row],[total_revenue]] * 0.25</f>
        <v>43.75</v>
      </c>
      <c r="K202" t="str">
        <f>IF(Table1[[#This Row],[unit_price]]&gt;=500,"High",IF(Table1[[#This Row],[unit_price]]&gt;100,"Medium","Low"))</f>
        <v>Medium</v>
      </c>
    </row>
    <row r="203" spans="1:11" x14ac:dyDescent="0.45">
      <c r="A203">
        <v>3202</v>
      </c>
      <c r="B203" t="s">
        <v>107</v>
      </c>
      <c r="C203" t="s">
        <v>52</v>
      </c>
      <c r="D203" t="s">
        <v>56</v>
      </c>
      <c r="E203" t="s">
        <v>17</v>
      </c>
      <c r="F203">
        <v>6</v>
      </c>
      <c r="G203">
        <v>913</v>
      </c>
      <c r="H203" t="s">
        <v>13</v>
      </c>
      <c r="I203">
        <f t="shared" si="3"/>
        <v>5478</v>
      </c>
      <c r="J203">
        <f>Table1[[#This Row],[total_revenue]] * 0.25</f>
        <v>1369.5</v>
      </c>
      <c r="K203" t="str">
        <f>IF(Table1[[#This Row],[unit_price]]&gt;=500,"High",IF(Table1[[#This Row],[unit_price]]&gt;100,"Medium","Low"))</f>
        <v>High</v>
      </c>
    </row>
    <row r="204" spans="1:11" x14ac:dyDescent="0.45">
      <c r="A204">
        <v>3203</v>
      </c>
      <c r="B204" t="s">
        <v>149</v>
      </c>
      <c r="C204" t="s">
        <v>15</v>
      </c>
      <c r="D204" t="s">
        <v>56</v>
      </c>
      <c r="E204" t="s">
        <v>17</v>
      </c>
      <c r="F204">
        <v>1</v>
      </c>
      <c r="G204">
        <v>868</v>
      </c>
      <c r="H204" t="s">
        <v>13</v>
      </c>
      <c r="I204">
        <f t="shared" si="3"/>
        <v>868</v>
      </c>
      <c r="J204">
        <f>Table1[[#This Row],[total_revenue]] * 0.25</f>
        <v>217</v>
      </c>
      <c r="K204" t="str">
        <f>IF(Table1[[#This Row],[unit_price]]&gt;=500,"High",IF(Table1[[#This Row],[unit_price]]&gt;100,"Medium","Low"))</f>
        <v>High</v>
      </c>
    </row>
    <row r="205" spans="1:11" x14ac:dyDescent="0.45">
      <c r="A205">
        <v>3204</v>
      </c>
      <c r="B205" t="s">
        <v>124</v>
      </c>
      <c r="C205" t="s">
        <v>32</v>
      </c>
      <c r="D205" t="s">
        <v>22</v>
      </c>
      <c r="E205" t="s">
        <v>17</v>
      </c>
      <c r="F205">
        <v>6</v>
      </c>
      <c r="G205">
        <v>31</v>
      </c>
      <c r="H205" t="s">
        <v>20</v>
      </c>
      <c r="I205">
        <f t="shared" si="3"/>
        <v>186</v>
      </c>
      <c r="J205">
        <f>Table1[[#This Row],[total_revenue]] * 0.25</f>
        <v>46.5</v>
      </c>
      <c r="K205" t="str">
        <f>IF(Table1[[#This Row],[unit_price]]&gt;=500,"High",IF(Table1[[#This Row],[unit_price]]&gt;100,"Medium","Low"))</f>
        <v>Low</v>
      </c>
    </row>
    <row r="206" spans="1:11" x14ac:dyDescent="0.45">
      <c r="A206">
        <v>3205</v>
      </c>
      <c r="B206" t="s">
        <v>154</v>
      </c>
      <c r="C206" t="s">
        <v>35</v>
      </c>
      <c r="D206" t="s">
        <v>36</v>
      </c>
      <c r="E206" t="s">
        <v>12</v>
      </c>
      <c r="F206">
        <v>4</v>
      </c>
      <c r="G206">
        <v>55</v>
      </c>
      <c r="H206" t="s">
        <v>25</v>
      </c>
      <c r="I206">
        <f t="shared" si="3"/>
        <v>220</v>
      </c>
      <c r="J206">
        <f>Table1[[#This Row],[total_revenue]] * 0.25</f>
        <v>55</v>
      </c>
      <c r="K206" t="str">
        <f>IF(Table1[[#This Row],[unit_price]]&gt;=500,"High",IF(Table1[[#This Row],[unit_price]]&gt;100,"Medium","Low"))</f>
        <v>Low</v>
      </c>
    </row>
    <row r="207" spans="1:11" x14ac:dyDescent="0.45">
      <c r="A207">
        <v>3206</v>
      </c>
      <c r="B207" t="s">
        <v>132</v>
      </c>
      <c r="C207" t="s">
        <v>15</v>
      </c>
      <c r="D207" t="s">
        <v>22</v>
      </c>
      <c r="E207" t="s">
        <v>17</v>
      </c>
      <c r="F207">
        <v>4</v>
      </c>
      <c r="G207">
        <v>35</v>
      </c>
      <c r="H207" t="s">
        <v>20</v>
      </c>
      <c r="I207">
        <f t="shared" si="3"/>
        <v>140</v>
      </c>
      <c r="J207">
        <f>Table1[[#This Row],[total_revenue]] * 0.25</f>
        <v>35</v>
      </c>
      <c r="K207" t="str">
        <f>IF(Table1[[#This Row],[unit_price]]&gt;=500,"High",IF(Table1[[#This Row],[unit_price]]&gt;100,"Medium","Low"))</f>
        <v>Low</v>
      </c>
    </row>
    <row r="208" spans="1:11" x14ac:dyDescent="0.45">
      <c r="A208">
        <v>3207</v>
      </c>
      <c r="B208" t="s">
        <v>155</v>
      </c>
      <c r="C208" t="s">
        <v>35</v>
      </c>
      <c r="D208" t="s">
        <v>65</v>
      </c>
      <c r="E208" t="s">
        <v>17</v>
      </c>
      <c r="F208">
        <v>2</v>
      </c>
      <c r="G208">
        <v>114</v>
      </c>
      <c r="H208" t="s">
        <v>13</v>
      </c>
      <c r="I208">
        <f t="shared" si="3"/>
        <v>228</v>
      </c>
      <c r="J208">
        <f>Table1[[#This Row],[total_revenue]] * 0.25</f>
        <v>57</v>
      </c>
      <c r="K208" t="str">
        <f>IF(Table1[[#This Row],[unit_price]]&gt;=500,"High",IF(Table1[[#This Row],[unit_price]]&gt;100,"Medium","Low"))</f>
        <v>Medium</v>
      </c>
    </row>
    <row r="209" spans="1:11" x14ac:dyDescent="0.45">
      <c r="A209">
        <v>3208</v>
      </c>
      <c r="B209" t="s">
        <v>156</v>
      </c>
      <c r="C209" t="s">
        <v>59</v>
      </c>
      <c r="D209" t="s">
        <v>41</v>
      </c>
      <c r="E209" t="s">
        <v>12</v>
      </c>
      <c r="F209">
        <v>3</v>
      </c>
      <c r="G209">
        <v>340</v>
      </c>
      <c r="H209" t="s">
        <v>13</v>
      </c>
      <c r="I209">
        <f t="shared" si="3"/>
        <v>1020</v>
      </c>
      <c r="J209">
        <f>Table1[[#This Row],[total_revenue]] * 0.25</f>
        <v>255</v>
      </c>
      <c r="K209" t="str">
        <f>IF(Table1[[#This Row],[unit_price]]&gt;=500,"High",IF(Table1[[#This Row],[unit_price]]&gt;100,"Medium","Low"))</f>
        <v>Medium</v>
      </c>
    </row>
    <row r="210" spans="1:11" x14ac:dyDescent="0.45">
      <c r="A210">
        <v>3209</v>
      </c>
      <c r="B210" t="s">
        <v>9</v>
      </c>
      <c r="C210" t="s">
        <v>15</v>
      </c>
      <c r="D210" t="s">
        <v>38</v>
      </c>
      <c r="E210" t="s">
        <v>17</v>
      </c>
      <c r="F210">
        <v>4</v>
      </c>
      <c r="G210">
        <v>242</v>
      </c>
      <c r="H210" t="s">
        <v>20</v>
      </c>
      <c r="I210">
        <f t="shared" si="3"/>
        <v>968</v>
      </c>
      <c r="J210">
        <f>Table1[[#This Row],[total_revenue]] * 0.25</f>
        <v>242</v>
      </c>
      <c r="K210" t="str">
        <f>IF(Table1[[#This Row],[unit_price]]&gt;=500,"High",IF(Table1[[#This Row],[unit_price]]&gt;100,"Medium","Low"))</f>
        <v>Medium</v>
      </c>
    </row>
    <row r="211" spans="1:11" x14ac:dyDescent="0.45">
      <c r="A211">
        <v>3210</v>
      </c>
      <c r="B211" t="s">
        <v>127</v>
      </c>
      <c r="C211" t="s">
        <v>27</v>
      </c>
      <c r="D211" t="s">
        <v>28</v>
      </c>
      <c r="E211" t="s">
        <v>17</v>
      </c>
      <c r="F211">
        <v>5</v>
      </c>
      <c r="G211">
        <v>39</v>
      </c>
      <c r="H211" t="s">
        <v>20</v>
      </c>
      <c r="I211">
        <f t="shared" si="3"/>
        <v>195</v>
      </c>
      <c r="J211">
        <f>Table1[[#This Row],[total_revenue]] * 0.25</f>
        <v>48.75</v>
      </c>
      <c r="K211" t="str">
        <f>IF(Table1[[#This Row],[unit_price]]&gt;=500,"High",IF(Table1[[#This Row],[unit_price]]&gt;100,"Medium","Low"))</f>
        <v>Low</v>
      </c>
    </row>
    <row r="212" spans="1:11" x14ac:dyDescent="0.45">
      <c r="A212">
        <v>3211</v>
      </c>
      <c r="B212" t="s">
        <v>150</v>
      </c>
      <c r="C212" t="s">
        <v>43</v>
      </c>
      <c r="D212" t="s">
        <v>22</v>
      </c>
      <c r="E212" t="s">
        <v>17</v>
      </c>
      <c r="F212">
        <v>5</v>
      </c>
      <c r="G212">
        <v>55</v>
      </c>
      <c r="H212" t="s">
        <v>20</v>
      </c>
      <c r="I212">
        <f t="shared" si="3"/>
        <v>275</v>
      </c>
      <c r="J212">
        <f>Table1[[#This Row],[total_revenue]] * 0.25</f>
        <v>68.75</v>
      </c>
      <c r="K212" t="str">
        <f>IF(Table1[[#This Row],[unit_price]]&gt;=500,"High",IF(Table1[[#This Row],[unit_price]]&gt;100,"Medium","Low"))</f>
        <v>Low</v>
      </c>
    </row>
    <row r="213" spans="1:11" x14ac:dyDescent="0.45">
      <c r="A213">
        <v>3212</v>
      </c>
      <c r="B213" t="s">
        <v>31</v>
      </c>
      <c r="C213" t="s">
        <v>24</v>
      </c>
      <c r="D213" t="s">
        <v>22</v>
      </c>
      <c r="E213" t="s">
        <v>17</v>
      </c>
      <c r="F213">
        <v>5</v>
      </c>
      <c r="G213">
        <v>6</v>
      </c>
      <c r="H213" t="s">
        <v>25</v>
      </c>
      <c r="I213">
        <f t="shared" si="3"/>
        <v>30</v>
      </c>
      <c r="J213">
        <f>Table1[[#This Row],[total_revenue]] * 0.25</f>
        <v>7.5</v>
      </c>
      <c r="K213" t="str">
        <f>IF(Table1[[#This Row],[unit_price]]&gt;=500,"High",IF(Table1[[#This Row],[unit_price]]&gt;100,"Medium","Low"))</f>
        <v>Low</v>
      </c>
    </row>
    <row r="214" spans="1:11" x14ac:dyDescent="0.45">
      <c r="A214">
        <v>3213</v>
      </c>
      <c r="B214" t="s">
        <v>91</v>
      </c>
      <c r="C214" t="s">
        <v>27</v>
      </c>
      <c r="D214" t="s">
        <v>16</v>
      </c>
      <c r="E214" t="s">
        <v>17</v>
      </c>
      <c r="F214">
        <v>3</v>
      </c>
      <c r="G214">
        <v>459</v>
      </c>
      <c r="H214" t="s">
        <v>20</v>
      </c>
      <c r="I214">
        <f t="shared" si="3"/>
        <v>1377</v>
      </c>
      <c r="J214">
        <f>Table1[[#This Row],[total_revenue]] * 0.25</f>
        <v>344.25</v>
      </c>
      <c r="K214" t="str">
        <f>IF(Table1[[#This Row],[unit_price]]&gt;=500,"High",IF(Table1[[#This Row],[unit_price]]&gt;100,"Medium","Low"))</f>
        <v>Medium</v>
      </c>
    </row>
    <row r="215" spans="1:11" x14ac:dyDescent="0.45">
      <c r="A215">
        <v>3214</v>
      </c>
      <c r="B215" t="s">
        <v>39</v>
      </c>
      <c r="C215" t="s">
        <v>59</v>
      </c>
      <c r="D215" t="s">
        <v>38</v>
      </c>
      <c r="E215" t="s">
        <v>17</v>
      </c>
      <c r="F215">
        <v>3</v>
      </c>
      <c r="G215">
        <v>180</v>
      </c>
      <c r="H215" t="s">
        <v>25</v>
      </c>
      <c r="I215">
        <f t="shared" si="3"/>
        <v>540</v>
      </c>
      <c r="J215">
        <f>Table1[[#This Row],[total_revenue]] * 0.25</f>
        <v>135</v>
      </c>
      <c r="K215" t="str">
        <f>IF(Table1[[#This Row],[unit_price]]&gt;=500,"High",IF(Table1[[#This Row],[unit_price]]&gt;100,"Medium","Low"))</f>
        <v>Medium</v>
      </c>
    </row>
    <row r="216" spans="1:11" x14ac:dyDescent="0.45">
      <c r="A216">
        <v>3215</v>
      </c>
      <c r="B216" t="s">
        <v>39</v>
      </c>
      <c r="C216" t="s">
        <v>61</v>
      </c>
      <c r="D216" t="s">
        <v>28</v>
      </c>
      <c r="E216" t="s">
        <v>17</v>
      </c>
      <c r="F216">
        <v>3</v>
      </c>
      <c r="G216">
        <v>46</v>
      </c>
      <c r="H216" t="s">
        <v>25</v>
      </c>
      <c r="I216">
        <f t="shared" si="3"/>
        <v>138</v>
      </c>
      <c r="J216">
        <f>Table1[[#This Row],[total_revenue]] * 0.25</f>
        <v>34.5</v>
      </c>
      <c r="K216" t="str">
        <f>IF(Table1[[#This Row],[unit_price]]&gt;=500,"High",IF(Table1[[#This Row],[unit_price]]&gt;100,"Medium","Low"))</f>
        <v>Low</v>
      </c>
    </row>
    <row r="217" spans="1:11" x14ac:dyDescent="0.45">
      <c r="A217">
        <v>3216</v>
      </c>
      <c r="B217" t="s">
        <v>157</v>
      </c>
      <c r="C217" t="s">
        <v>30</v>
      </c>
      <c r="D217" t="s">
        <v>22</v>
      </c>
      <c r="E217" t="s">
        <v>17</v>
      </c>
      <c r="F217">
        <v>4</v>
      </c>
      <c r="G217">
        <v>-6</v>
      </c>
      <c r="H217" t="s">
        <v>25</v>
      </c>
      <c r="I217">
        <f t="shared" si="3"/>
        <v>-24</v>
      </c>
      <c r="J217">
        <f>Table1[[#This Row],[total_revenue]] * 0.25</f>
        <v>-6</v>
      </c>
      <c r="K217" t="str">
        <f>IF(Table1[[#This Row],[unit_price]]&gt;=500,"High",IF(Table1[[#This Row],[unit_price]]&gt;100,"Medium","Low"))</f>
        <v>Low</v>
      </c>
    </row>
    <row r="218" spans="1:11" x14ac:dyDescent="0.45">
      <c r="A218">
        <v>3217</v>
      </c>
      <c r="B218" t="s">
        <v>158</v>
      </c>
      <c r="C218" t="s">
        <v>30</v>
      </c>
      <c r="D218" t="s">
        <v>41</v>
      </c>
      <c r="E218" t="s">
        <v>12</v>
      </c>
      <c r="F218">
        <v>6</v>
      </c>
      <c r="G218">
        <v>265</v>
      </c>
      <c r="H218" t="s">
        <v>20</v>
      </c>
      <c r="I218">
        <f t="shared" si="3"/>
        <v>1590</v>
      </c>
      <c r="J218">
        <f>Table1[[#This Row],[total_revenue]] * 0.25</f>
        <v>397.5</v>
      </c>
      <c r="K218" t="str">
        <f>IF(Table1[[#This Row],[unit_price]]&gt;=500,"High",IF(Table1[[#This Row],[unit_price]]&gt;100,"Medium","Low"))</f>
        <v>Medium</v>
      </c>
    </row>
    <row r="219" spans="1:11" x14ac:dyDescent="0.45">
      <c r="A219">
        <v>3218</v>
      </c>
      <c r="B219" t="s">
        <v>67</v>
      </c>
      <c r="C219" t="s">
        <v>10</v>
      </c>
      <c r="D219" t="s">
        <v>16</v>
      </c>
      <c r="E219" t="s">
        <v>17</v>
      </c>
      <c r="F219">
        <v>6</v>
      </c>
      <c r="G219">
        <v>426</v>
      </c>
      <c r="H219" t="s">
        <v>25</v>
      </c>
      <c r="I219">
        <f t="shared" si="3"/>
        <v>2556</v>
      </c>
      <c r="J219">
        <f>Table1[[#This Row],[total_revenue]] * 0.25</f>
        <v>639</v>
      </c>
      <c r="K219" t="str">
        <f>IF(Table1[[#This Row],[unit_price]]&gt;=500,"High",IF(Table1[[#This Row],[unit_price]]&gt;100,"Medium","Low"))</f>
        <v>Medium</v>
      </c>
    </row>
    <row r="220" spans="1:11" x14ac:dyDescent="0.45">
      <c r="A220">
        <v>3219</v>
      </c>
      <c r="B220" t="s">
        <v>159</v>
      </c>
      <c r="C220" t="s">
        <v>27</v>
      </c>
      <c r="D220" t="s">
        <v>41</v>
      </c>
      <c r="E220" t="s">
        <v>12</v>
      </c>
      <c r="F220">
        <v>4</v>
      </c>
      <c r="G220">
        <v>280</v>
      </c>
      <c r="H220" t="s">
        <v>25</v>
      </c>
      <c r="I220">
        <f t="shared" si="3"/>
        <v>1120</v>
      </c>
      <c r="J220">
        <f>Table1[[#This Row],[total_revenue]] * 0.25</f>
        <v>280</v>
      </c>
      <c r="K220" t="str">
        <f>IF(Table1[[#This Row],[unit_price]]&gt;=500,"High",IF(Table1[[#This Row],[unit_price]]&gt;100,"Medium","Low"))</f>
        <v>Medium</v>
      </c>
    </row>
    <row r="221" spans="1:11" x14ac:dyDescent="0.45">
      <c r="A221">
        <v>3220</v>
      </c>
      <c r="B221" t="s">
        <v>23</v>
      </c>
      <c r="C221" t="s">
        <v>61</v>
      </c>
      <c r="D221" t="s">
        <v>22</v>
      </c>
      <c r="E221" t="s">
        <v>17</v>
      </c>
      <c r="F221">
        <v>3</v>
      </c>
      <c r="G221">
        <v>15</v>
      </c>
      <c r="H221" t="s">
        <v>13</v>
      </c>
      <c r="I221">
        <f t="shared" si="3"/>
        <v>45</v>
      </c>
      <c r="J221">
        <f>Table1[[#This Row],[total_revenue]] * 0.25</f>
        <v>11.25</v>
      </c>
      <c r="K221" t="str">
        <f>IF(Table1[[#This Row],[unit_price]]&gt;=500,"High",IF(Table1[[#This Row],[unit_price]]&gt;100,"Medium","Low"))</f>
        <v>Low</v>
      </c>
    </row>
    <row r="222" spans="1:11" x14ac:dyDescent="0.45">
      <c r="A222">
        <v>3221</v>
      </c>
      <c r="B222" t="s">
        <v>91</v>
      </c>
      <c r="C222" t="s">
        <v>59</v>
      </c>
      <c r="D222" t="s">
        <v>16</v>
      </c>
      <c r="E222" t="s">
        <v>17</v>
      </c>
      <c r="F222">
        <v>3</v>
      </c>
      <c r="G222">
        <v>468</v>
      </c>
      <c r="H222" t="s">
        <v>20</v>
      </c>
      <c r="I222">
        <f t="shared" si="3"/>
        <v>1404</v>
      </c>
      <c r="J222">
        <f>Table1[[#This Row],[total_revenue]] * 0.25</f>
        <v>351</v>
      </c>
      <c r="K222" t="str">
        <f>IF(Table1[[#This Row],[unit_price]]&gt;=500,"High",IF(Table1[[#This Row],[unit_price]]&gt;100,"Medium","Low"))</f>
        <v>Medium</v>
      </c>
    </row>
    <row r="223" spans="1:11" x14ac:dyDescent="0.45">
      <c r="A223">
        <v>3222</v>
      </c>
      <c r="B223" t="s">
        <v>26</v>
      </c>
      <c r="C223" t="s">
        <v>43</v>
      </c>
      <c r="D223" t="s">
        <v>41</v>
      </c>
      <c r="E223" t="s">
        <v>12</v>
      </c>
      <c r="F223">
        <v>3</v>
      </c>
      <c r="G223">
        <v>262</v>
      </c>
      <c r="H223" t="s">
        <v>20</v>
      </c>
      <c r="I223">
        <f t="shared" si="3"/>
        <v>786</v>
      </c>
      <c r="J223">
        <f>Table1[[#This Row],[total_revenue]] * 0.25</f>
        <v>196.5</v>
      </c>
      <c r="K223" t="str">
        <f>IF(Table1[[#This Row],[unit_price]]&gt;=500,"High",IF(Table1[[#This Row],[unit_price]]&gt;100,"Medium","Low"))</f>
        <v>Medium</v>
      </c>
    </row>
    <row r="224" spans="1:11" x14ac:dyDescent="0.45">
      <c r="A224">
        <v>3223</v>
      </c>
      <c r="B224" t="s">
        <v>95</v>
      </c>
      <c r="C224" t="s">
        <v>52</v>
      </c>
      <c r="D224" t="s">
        <v>16</v>
      </c>
      <c r="E224" t="s">
        <v>17</v>
      </c>
      <c r="F224">
        <v>2</v>
      </c>
      <c r="G224">
        <v>436</v>
      </c>
      <c r="H224" t="s">
        <v>25</v>
      </c>
      <c r="I224">
        <f t="shared" si="3"/>
        <v>872</v>
      </c>
      <c r="J224">
        <f>Table1[[#This Row],[total_revenue]] * 0.25</f>
        <v>218</v>
      </c>
      <c r="K224" t="str">
        <f>IF(Table1[[#This Row],[unit_price]]&gt;=500,"High",IF(Table1[[#This Row],[unit_price]]&gt;100,"Medium","Low"))</f>
        <v>Medium</v>
      </c>
    </row>
    <row r="225" spans="1:11" x14ac:dyDescent="0.45">
      <c r="A225">
        <v>3224</v>
      </c>
      <c r="B225" t="s">
        <v>141</v>
      </c>
      <c r="C225" t="s">
        <v>10</v>
      </c>
      <c r="D225" t="s">
        <v>56</v>
      </c>
      <c r="E225" t="s">
        <v>17</v>
      </c>
      <c r="F225">
        <v>4</v>
      </c>
      <c r="G225">
        <v>874</v>
      </c>
      <c r="H225" t="s">
        <v>25</v>
      </c>
      <c r="I225">
        <f t="shared" si="3"/>
        <v>3496</v>
      </c>
      <c r="J225">
        <f>Table1[[#This Row],[total_revenue]] * 0.25</f>
        <v>874</v>
      </c>
      <c r="K225" t="str">
        <f>IF(Table1[[#This Row],[unit_price]]&gt;=500,"High",IF(Table1[[#This Row],[unit_price]]&gt;100,"Medium","Low"))</f>
        <v>High</v>
      </c>
    </row>
    <row r="226" spans="1:11" x14ac:dyDescent="0.45">
      <c r="A226">
        <v>3225</v>
      </c>
      <c r="B226" t="s">
        <v>160</v>
      </c>
      <c r="C226" t="s">
        <v>52</v>
      </c>
      <c r="D226" t="s">
        <v>41</v>
      </c>
      <c r="E226" t="s">
        <v>12</v>
      </c>
      <c r="F226">
        <v>5</v>
      </c>
      <c r="G226">
        <v>312</v>
      </c>
      <c r="H226" t="s">
        <v>25</v>
      </c>
      <c r="I226">
        <f t="shared" si="3"/>
        <v>1560</v>
      </c>
      <c r="J226">
        <f>Table1[[#This Row],[total_revenue]] * 0.25</f>
        <v>390</v>
      </c>
      <c r="K226" t="str">
        <f>IF(Table1[[#This Row],[unit_price]]&gt;=500,"High",IF(Table1[[#This Row],[unit_price]]&gt;100,"Medium","Low"))</f>
        <v>Medium</v>
      </c>
    </row>
    <row r="227" spans="1:11" x14ac:dyDescent="0.45">
      <c r="A227">
        <v>3226</v>
      </c>
      <c r="B227" t="s">
        <v>31</v>
      </c>
      <c r="C227" t="s">
        <v>43</v>
      </c>
      <c r="D227" t="s">
        <v>11</v>
      </c>
      <c r="E227" t="s">
        <v>12</v>
      </c>
      <c r="F227">
        <v>1</v>
      </c>
      <c r="G227">
        <v>368</v>
      </c>
      <c r="H227" t="s">
        <v>20</v>
      </c>
      <c r="I227">
        <f t="shared" si="3"/>
        <v>368</v>
      </c>
      <c r="J227">
        <f>Table1[[#This Row],[total_revenue]] * 0.25</f>
        <v>92</v>
      </c>
      <c r="K227" t="str">
        <f>IF(Table1[[#This Row],[unit_price]]&gt;=500,"High",IF(Table1[[#This Row],[unit_price]]&gt;100,"Medium","Low"))</f>
        <v>Medium</v>
      </c>
    </row>
    <row r="228" spans="1:11" x14ac:dyDescent="0.45">
      <c r="A228">
        <v>3227</v>
      </c>
      <c r="B228" t="s">
        <v>137</v>
      </c>
      <c r="C228" t="s">
        <v>43</v>
      </c>
      <c r="D228" t="s">
        <v>28</v>
      </c>
      <c r="E228" t="s">
        <v>17</v>
      </c>
      <c r="F228">
        <v>4</v>
      </c>
      <c r="G228">
        <v>-1</v>
      </c>
      <c r="H228" t="s">
        <v>13</v>
      </c>
      <c r="I228">
        <f t="shared" si="3"/>
        <v>-4</v>
      </c>
      <c r="J228">
        <f>Table1[[#This Row],[total_revenue]] * 0.25</f>
        <v>-1</v>
      </c>
      <c r="K228" t="str">
        <f>IF(Table1[[#This Row],[unit_price]]&gt;=500,"High",IF(Table1[[#This Row],[unit_price]]&gt;100,"Medium","Low"))</f>
        <v>Low</v>
      </c>
    </row>
    <row r="229" spans="1:11" x14ac:dyDescent="0.45">
      <c r="A229">
        <v>3228</v>
      </c>
      <c r="B229" t="s">
        <v>23</v>
      </c>
      <c r="C229" t="s">
        <v>59</v>
      </c>
      <c r="D229" t="s">
        <v>41</v>
      </c>
      <c r="E229" t="s">
        <v>12</v>
      </c>
      <c r="F229">
        <v>2</v>
      </c>
      <c r="G229">
        <v>340</v>
      </c>
      <c r="H229" t="s">
        <v>25</v>
      </c>
      <c r="I229">
        <f t="shared" si="3"/>
        <v>680</v>
      </c>
      <c r="J229">
        <f>Table1[[#This Row],[total_revenue]] * 0.25</f>
        <v>170</v>
      </c>
      <c r="K229" t="str">
        <f>IF(Table1[[#This Row],[unit_price]]&gt;=500,"High",IF(Table1[[#This Row],[unit_price]]&gt;100,"Medium","Low"))</f>
        <v>Medium</v>
      </c>
    </row>
    <row r="230" spans="1:11" x14ac:dyDescent="0.45">
      <c r="A230">
        <v>3229</v>
      </c>
      <c r="B230" t="s">
        <v>161</v>
      </c>
      <c r="C230" t="s">
        <v>52</v>
      </c>
      <c r="D230" t="s">
        <v>11</v>
      </c>
      <c r="E230" t="s">
        <v>12</v>
      </c>
      <c r="F230">
        <v>4</v>
      </c>
      <c r="G230">
        <v>314</v>
      </c>
      <c r="H230" t="s">
        <v>13</v>
      </c>
      <c r="I230">
        <f t="shared" si="3"/>
        <v>1256</v>
      </c>
      <c r="J230">
        <f>Table1[[#This Row],[total_revenue]] * 0.25</f>
        <v>314</v>
      </c>
      <c r="K230" t="str">
        <f>IF(Table1[[#This Row],[unit_price]]&gt;=500,"High",IF(Table1[[#This Row],[unit_price]]&gt;100,"Medium","Low"))</f>
        <v>Medium</v>
      </c>
    </row>
    <row r="231" spans="1:11" x14ac:dyDescent="0.45">
      <c r="A231">
        <v>3230</v>
      </c>
      <c r="B231" t="s">
        <v>54</v>
      </c>
      <c r="C231" t="s">
        <v>52</v>
      </c>
      <c r="D231" t="s">
        <v>22</v>
      </c>
      <c r="E231" t="s">
        <v>17</v>
      </c>
      <c r="F231">
        <v>4</v>
      </c>
      <c r="G231">
        <v>-15</v>
      </c>
      <c r="H231" t="s">
        <v>13</v>
      </c>
      <c r="I231">
        <f t="shared" si="3"/>
        <v>-60</v>
      </c>
      <c r="J231">
        <f>Table1[[#This Row],[total_revenue]] * 0.25</f>
        <v>-15</v>
      </c>
      <c r="K231" t="str">
        <f>IF(Table1[[#This Row],[unit_price]]&gt;=500,"High",IF(Table1[[#This Row],[unit_price]]&gt;100,"Medium","Low"))</f>
        <v>Low</v>
      </c>
    </row>
    <row r="232" spans="1:11" x14ac:dyDescent="0.45">
      <c r="A232">
        <v>3231</v>
      </c>
      <c r="B232" t="s">
        <v>44</v>
      </c>
      <c r="C232" t="s">
        <v>30</v>
      </c>
      <c r="D232" t="s">
        <v>38</v>
      </c>
      <c r="E232" t="s">
        <v>17</v>
      </c>
      <c r="F232">
        <v>3</v>
      </c>
      <c r="G232">
        <v>193</v>
      </c>
      <c r="H232" t="s">
        <v>13</v>
      </c>
      <c r="I232">
        <f t="shared" si="3"/>
        <v>579</v>
      </c>
      <c r="J232">
        <f>Table1[[#This Row],[total_revenue]] * 0.25</f>
        <v>144.75</v>
      </c>
      <c r="K232" t="str">
        <f>IF(Table1[[#This Row],[unit_price]]&gt;=500,"High",IF(Table1[[#This Row],[unit_price]]&gt;100,"Medium","Low"))</f>
        <v>Medium</v>
      </c>
    </row>
    <row r="233" spans="1:11" x14ac:dyDescent="0.45">
      <c r="A233">
        <v>3232</v>
      </c>
      <c r="B233" t="s">
        <v>162</v>
      </c>
      <c r="C233" t="s">
        <v>27</v>
      </c>
      <c r="D233" t="s">
        <v>65</v>
      </c>
      <c r="E233" t="s">
        <v>17</v>
      </c>
      <c r="F233">
        <v>6</v>
      </c>
      <c r="G233">
        <v>84</v>
      </c>
      <c r="H233" t="s">
        <v>13</v>
      </c>
      <c r="I233">
        <f t="shared" si="3"/>
        <v>504</v>
      </c>
      <c r="J233">
        <f>Table1[[#This Row],[total_revenue]] * 0.25</f>
        <v>126</v>
      </c>
      <c r="K233" t="str">
        <f>IF(Table1[[#This Row],[unit_price]]&gt;=500,"High",IF(Table1[[#This Row],[unit_price]]&gt;100,"Medium","Low"))</f>
        <v>Low</v>
      </c>
    </row>
    <row r="234" spans="1:11" x14ac:dyDescent="0.45">
      <c r="A234">
        <v>3233</v>
      </c>
      <c r="B234" t="s">
        <v>163</v>
      </c>
      <c r="C234" t="s">
        <v>52</v>
      </c>
      <c r="D234" t="s">
        <v>38</v>
      </c>
      <c r="E234" t="s">
        <v>17</v>
      </c>
      <c r="F234">
        <v>4</v>
      </c>
      <c r="G234">
        <v>232</v>
      </c>
      <c r="H234" t="s">
        <v>13</v>
      </c>
      <c r="I234">
        <f t="shared" si="3"/>
        <v>928</v>
      </c>
      <c r="J234">
        <f>Table1[[#This Row],[total_revenue]] * 0.25</f>
        <v>232</v>
      </c>
      <c r="K234" t="str">
        <f>IF(Table1[[#This Row],[unit_price]]&gt;=500,"High",IF(Table1[[#This Row],[unit_price]]&gt;100,"Medium","Low"))</f>
        <v>Medium</v>
      </c>
    </row>
    <row r="235" spans="1:11" x14ac:dyDescent="0.45">
      <c r="A235">
        <v>3234</v>
      </c>
      <c r="B235" t="s">
        <v>156</v>
      </c>
      <c r="C235" t="s">
        <v>10</v>
      </c>
      <c r="D235" t="s">
        <v>56</v>
      </c>
      <c r="E235" t="s">
        <v>17</v>
      </c>
      <c r="F235">
        <v>4</v>
      </c>
      <c r="G235">
        <v>946</v>
      </c>
      <c r="H235" t="s">
        <v>13</v>
      </c>
      <c r="I235">
        <f t="shared" si="3"/>
        <v>3784</v>
      </c>
      <c r="J235">
        <f>Table1[[#This Row],[total_revenue]] * 0.25</f>
        <v>946</v>
      </c>
      <c r="K235" t="str">
        <f>IF(Table1[[#This Row],[unit_price]]&gt;=500,"High",IF(Table1[[#This Row],[unit_price]]&gt;100,"Medium","Low"))</f>
        <v>High</v>
      </c>
    </row>
    <row r="236" spans="1:11" x14ac:dyDescent="0.45">
      <c r="A236">
        <v>3235</v>
      </c>
      <c r="B236" t="s">
        <v>60</v>
      </c>
      <c r="C236" t="s">
        <v>59</v>
      </c>
      <c r="D236" t="s">
        <v>65</v>
      </c>
      <c r="E236" t="s">
        <v>17</v>
      </c>
      <c r="F236">
        <v>5</v>
      </c>
      <c r="G236">
        <v>63</v>
      </c>
      <c r="H236" t="s">
        <v>13</v>
      </c>
      <c r="I236">
        <f t="shared" si="3"/>
        <v>315</v>
      </c>
      <c r="J236">
        <f>Table1[[#This Row],[total_revenue]] * 0.25</f>
        <v>78.75</v>
      </c>
      <c r="K236" t="str">
        <f>IF(Table1[[#This Row],[unit_price]]&gt;=500,"High",IF(Table1[[#This Row],[unit_price]]&gt;100,"Medium","Low"))</f>
        <v>Low</v>
      </c>
    </row>
    <row r="237" spans="1:11" x14ac:dyDescent="0.45">
      <c r="A237">
        <v>3236</v>
      </c>
      <c r="B237" t="s">
        <v>92</v>
      </c>
      <c r="C237" t="s">
        <v>19</v>
      </c>
      <c r="D237" t="s">
        <v>28</v>
      </c>
      <c r="E237" t="s">
        <v>17</v>
      </c>
      <c r="F237">
        <v>3</v>
      </c>
      <c r="G237">
        <v>43</v>
      </c>
      <c r="H237" t="s">
        <v>25</v>
      </c>
      <c r="I237">
        <f t="shared" si="3"/>
        <v>129</v>
      </c>
      <c r="J237">
        <f>Table1[[#This Row],[total_revenue]] * 0.25</f>
        <v>32.25</v>
      </c>
      <c r="K237" t="str">
        <f>IF(Table1[[#This Row],[unit_price]]&gt;=500,"High",IF(Table1[[#This Row],[unit_price]]&gt;100,"Medium","Low"))</f>
        <v>Low</v>
      </c>
    </row>
    <row r="238" spans="1:11" x14ac:dyDescent="0.45">
      <c r="A238">
        <v>3237</v>
      </c>
      <c r="B238" t="s">
        <v>14</v>
      </c>
      <c r="C238" t="s">
        <v>15</v>
      </c>
      <c r="D238" t="s">
        <v>11</v>
      </c>
      <c r="E238" t="s">
        <v>12</v>
      </c>
      <c r="F238">
        <v>4</v>
      </c>
      <c r="G238">
        <v>329</v>
      </c>
      <c r="H238" t="s">
        <v>25</v>
      </c>
      <c r="I238">
        <f t="shared" si="3"/>
        <v>1316</v>
      </c>
      <c r="J238">
        <f>Table1[[#This Row],[total_revenue]] * 0.25</f>
        <v>329</v>
      </c>
      <c r="K238" t="str">
        <f>IF(Table1[[#This Row],[unit_price]]&gt;=500,"High",IF(Table1[[#This Row],[unit_price]]&gt;100,"Medium","Low"))</f>
        <v>Medium</v>
      </c>
    </row>
    <row r="239" spans="1:11" x14ac:dyDescent="0.45">
      <c r="A239">
        <v>3238</v>
      </c>
      <c r="B239" t="s">
        <v>85</v>
      </c>
      <c r="C239" t="s">
        <v>10</v>
      </c>
      <c r="D239" t="s">
        <v>28</v>
      </c>
      <c r="E239" t="s">
        <v>17</v>
      </c>
      <c r="F239">
        <v>6</v>
      </c>
      <c r="G239">
        <v>-17</v>
      </c>
      <c r="H239" t="s">
        <v>25</v>
      </c>
      <c r="I239">
        <f t="shared" si="3"/>
        <v>-102</v>
      </c>
      <c r="J239">
        <f>Table1[[#This Row],[total_revenue]] * 0.25</f>
        <v>-25.5</v>
      </c>
      <c r="K239" t="str">
        <f>IF(Table1[[#This Row],[unit_price]]&gt;=500,"High",IF(Table1[[#This Row],[unit_price]]&gt;100,"Medium","Low"))</f>
        <v>Low</v>
      </c>
    </row>
    <row r="240" spans="1:11" x14ac:dyDescent="0.45">
      <c r="A240">
        <v>3239</v>
      </c>
      <c r="B240" t="s">
        <v>89</v>
      </c>
      <c r="C240" t="s">
        <v>43</v>
      </c>
      <c r="D240" t="s">
        <v>28</v>
      </c>
      <c r="E240" t="s">
        <v>17</v>
      </c>
      <c r="F240">
        <v>1</v>
      </c>
      <c r="G240">
        <v>28</v>
      </c>
      <c r="H240" t="s">
        <v>13</v>
      </c>
      <c r="I240">
        <f t="shared" si="3"/>
        <v>28</v>
      </c>
      <c r="J240">
        <f>Table1[[#This Row],[total_revenue]] * 0.25</f>
        <v>7</v>
      </c>
      <c r="K240" t="str">
        <f>IF(Table1[[#This Row],[unit_price]]&gt;=500,"High",IF(Table1[[#This Row],[unit_price]]&gt;100,"Medium","Low"))</f>
        <v>Low</v>
      </c>
    </row>
    <row r="241" spans="1:11" x14ac:dyDescent="0.45">
      <c r="A241">
        <v>3240</v>
      </c>
      <c r="B241" t="s">
        <v>88</v>
      </c>
      <c r="C241" t="s">
        <v>32</v>
      </c>
      <c r="D241" t="s">
        <v>38</v>
      </c>
      <c r="E241" t="s">
        <v>17</v>
      </c>
      <c r="F241">
        <v>2</v>
      </c>
      <c r="G241">
        <v>221</v>
      </c>
      <c r="H241" t="s">
        <v>13</v>
      </c>
      <c r="I241">
        <f t="shared" si="3"/>
        <v>442</v>
      </c>
      <c r="J241">
        <f>Table1[[#This Row],[total_revenue]] * 0.25</f>
        <v>110.5</v>
      </c>
      <c r="K241" t="str">
        <f>IF(Table1[[#This Row],[unit_price]]&gt;=500,"High",IF(Table1[[#This Row],[unit_price]]&gt;100,"Medium","Low"))</f>
        <v>Medium</v>
      </c>
    </row>
    <row r="242" spans="1:11" x14ac:dyDescent="0.45">
      <c r="A242">
        <v>3241</v>
      </c>
      <c r="B242" t="s">
        <v>40</v>
      </c>
      <c r="C242" t="s">
        <v>24</v>
      </c>
      <c r="D242" t="s">
        <v>56</v>
      </c>
      <c r="E242" t="s">
        <v>17</v>
      </c>
      <c r="F242">
        <v>2</v>
      </c>
      <c r="G242">
        <v>900</v>
      </c>
      <c r="H242" t="s">
        <v>20</v>
      </c>
      <c r="I242">
        <f t="shared" si="3"/>
        <v>1800</v>
      </c>
      <c r="J242">
        <f>Table1[[#This Row],[total_revenue]] * 0.25</f>
        <v>450</v>
      </c>
      <c r="K242" t="str">
        <f>IF(Table1[[#This Row],[unit_price]]&gt;=500,"High",IF(Table1[[#This Row],[unit_price]]&gt;100,"Medium","Low"))</f>
        <v>High</v>
      </c>
    </row>
    <row r="243" spans="1:11" x14ac:dyDescent="0.45">
      <c r="A243">
        <v>3242</v>
      </c>
      <c r="B243" t="s">
        <v>154</v>
      </c>
      <c r="C243" t="s">
        <v>32</v>
      </c>
      <c r="D243" t="s">
        <v>41</v>
      </c>
      <c r="E243" t="s">
        <v>12</v>
      </c>
      <c r="F243">
        <v>1</v>
      </c>
      <c r="G243">
        <v>263</v>
      </c>
      <c r="H243" t="s">
        <v>20</v>
      </c>
      <c r="I243">
        <f t="shared" si="3"/>
        <v>263</v>
      </c>
      <c r="J243">
        <f>Table1[[#This Row],[total_revenue]] * 0.25</f>
        <v>65.75</v>
      </c>
      <c r="K243" t="str">
        <f>IF(Table1[[#This Row],[unit_price]]&gt;=500,"High",IF(Table1[[#This Row],[unit_price]]&gt;100,"Medium","Low"))</f>
        <v>Medium</v>
      </c>
    </row>
    <row r="244" spans="1:11" x14ac:dyDescent="0.45">
      <c r="A244">
        <v>3243</v>
      </c>
      <c r="B244" t="s">
        <v>164</v>
      </c>
      <c r="C244" t="s">
        <v>52</v>
      </c>
      <c r="D244" t="s">
        <v>16</v>
      </c>
      <c r="E244" t="s">
        <v>17</v>
      </c>
      <c r="F244">
        <v>5</v>
      </c>
      <c r="G244">
        <v>490</v>
      </c>
      <c r="H244" t="s">
        <v>13</v>
      </c>
      <c r="I244">
        <f t="shared" si="3"/>
        <v>2450</v>
      </c>
      <c r="J244">
        <f>Table1[[#This Row],[total_revenue]] * 0.25</f>
        <v>612.5</v>
      </c>
      <c r="K244" t="str">
        <f>IF(Table1[[#This Row],[unit_price]]&gt;=500,"High",IF(Table1[[#This Row],[unit_price]]&gt;100,"Medium","Low"))</f>
        <v>Medium</v>
      </c>
    </row>
    <row r="245" spans="1:11" x14ac:dyDescent="0.45">
      <c r="A245">
        <v>3244</v>
      </c>
      <c r="B245" t="s">
        <v>29</v>
      </c>
      <c r="C245" t="s">
        <v>15</v>
      </c>
      <c r="D245" t="s">
        <v>56</v>
      </c>
      <c r="E245" t="s">
        <v>17</v>
      </c>
      <c r="F245">
        <v>5</v>
      </c>
      <c r="G245">
        <v>924</v>
      </c>
      <c r="H245" t="s">
        <v>20</v>
      </c>
      <c r="I245">
        <f t="shared" si="3"/>
        <v>4620</v>
      </c>
      <c r="J245">
        <f>Table1[[#This Row],[total_revenue]] * 0.25</f>
        <v>1155</v>
      </c>
      <c r="K245" t="str">
        <f>IF(Table1[[#This Row],[unit_price]]&gt;=500,"High",IF(Table1[[#This Row],[unit_price]]&gt;100,"Medium","Low"))</f>
        <v>High</v>
      </c>
    </row>
    <row r="246" spans="1:11" x14ac:dyDescent="0.45">
      <c r="A246">
        <v>3245</v>
      </c>
      <c r="B246" t="s">
        <v>162</v>
      </c>
      <c r="C246" t="s">
        <v>61</v>
      </c>
      <c r="D246" t="s">
        <v>16</v>
      </c>
      <c r="E246" t="s">
        <v>17</v>
      </c>
      <c r="F246">
        <v>4</v>
      </c>
      <c r="G246">
        <v>459</v>
      </c>
      <c r="H246" t="s">
        <v>13</v>
      </c>
      <c r="I246">
        <f t="shared" si="3"/>
        <v>1836</v>
      </c>
      <c r="J246">
        <f>Table1[[#This Row],[total_revenue]] * 0.25</f>
        <v>459</v>
      </c>
      <c r="K246" t="str">
        <f>IF(Table1[[#This Row],[unit_price]]&gt;=500,"High",IF(Table1[[#This Row],[unit_price]]&gt;100,"Medium","Low"))</f>
        <v>Medium</v>
      </c>
    </row>
    <row r="247" spans="1:11" x14ac:dyDescent="0.45">
      <c r="A247">
        <v>3246</v>
      </c>
      <c r="B247" t="s">
        <v>104</v>
      </c>
      <c r="C247" t="s">
        <v>24</v>
      </c>
      <c r="D247" t="s">
        <v>11</v>
      </c>
      <c r="E247" t="s">
        <v>12</v>
      </c>
      <c r="F247">
        <v>4</v>
      </c>
      <c r="G247">
        <v>316</v>
      </c>
      <c r="H247" t="s">
        <v>20</v>
      </c>
      <c r="I247">
        <f t="shared" si="3"/>
        <v>1264</v>
      </c>
      <c r="J247">
        <f>Table1[[#This Row],[total_revenue]] * 0.25</f>
        <v>316</v>
      </c>
      <c r="K247" t="str">
        <f>IF(Table1[[#This Row],[unit_price]]&gt;=500,"High",IF(Table1[[#This Row],[unit_price]]&gt;100,"Medium","Low"))</f>
        <v>Medium</v>
      </c>
    </row>
    <row r="248" spans="1:11" x14ac:dyDescent="0.45">
      <c r="A248">
        <v>3247</v>
      </c>
      <c r="B248" t="s">
        <v>161</v>
      </c>
      <c r="C248" t="s">
        <v>10</v>
      </c>
      <c r="D248" t="s">
        <v>36</v>
      </c>
      <c r="E248" t="s">
        <v>12</v>
      </c>
      <c r="F248">
        <v>4</v>
      </c>
      <c r="G248">
        <v>141</v>
      </c>
      <c r="H248" t="s">
        <v>20</v>
      </c>
      <c r="I248">
        <f t="shared" si="3"/>
        <v>564</v>
      </c>
      <c r="J248">
        <f>Table1[[#This Row],[total_revenue]] * 0.25</f>
        <v>141</v>
      </c>
      <c r="K248" t="str">
        <f>IF(Table1[[#This Row],[unit_price]]&gt;=500,"High",IF(Table1[[#This Row],[unit_price]]&gt;100,"Medium","Low"))</f>
        <v>Medium</v>
      </c>
    </row>
    <row r="249" spans="1:11" x14ac:dyDescent="0.45">
      <c r="A249">
        <v>3248</v>
      </c>
      <c r="B249" t="s">
        <v>165</v>
      </c>
      <c r="C249" t="s">
        <v>19</v>
      </c>
      <c r="D249" t="s">
        <v>22</v>
      </c>
      <c r="E249" t="s">
        <v>17</v>
      </c>
      <c r="F249">
        <v>6</v>
      </c>
      <c r="G249">
        <v>-5</v>
      </c>
      <c r="H249" t="s">
        <v>25</v>
      </c>
      <c r="I249">
        <f t="shared" si="3"/>
        <v>-30</v>
      </c>
      <c r="J249">
        <f>Table1[[#This Row],[total_revenue]] * 0.25</f>
        <v>-7.5</v>
      </c>
      <c r="K249" t="str">
        <f>IF(Table1[[#This Row],[unit_price]]&gt;=500,"High",IF(Table1[[#This Row],[unit_price]]&gt;100,"Medium","Low"))</f>
        <v>Low</v>
      </c>
    </row>
    <row r="250" spans="1:11" x14ac:dyDescent="0.45">
      <c r="A250">
        <v>3249</v>
      </c>
      <c r="B250" t="s">
        <v>166</v>
      </c>
      <c r="C250" t="s">
        <v>32</v>
      </c>
      <c r="D250" t="s">
        <v>56</v>
      </c>
      <c r="E250" t="s">
        <v>17</v>
      </c>
      <c r="F250">
        <v>4</v>
      </c>
      <c r="G250">
        <v>933</v>
      </c>
      <c r="H250" t="s">
        <v>25</v>
      </c>
      <c r="I250">
        <f t="shared" si="3"/>
        <v>3732</v>
      </c>
      <c r="J250">
        <f>Table1[[#This Row],[total_revenue]] * 0.25</f>
        <v>933</v>
      </c>
      <c r="K250" t="str">
        <f>IF(Table1[[#This Row],[unit_price]]&gt;=500,"High",IF(Table1[[#This Row],[unit_price]]&gt;100,"Medium","Low"))</f>
        <v>High</v>
      </c>
    </row>
    <row r="251" spans="1:11" x14ac:dyDescent="0.45">
      <c r="A251">
        <v>3250</v>
      </c>
      <c r="B251" t="s">
        <v>151</v>
      </c>
      <c r="C251" t="s">
        <v>59</v>
      </c>
      <c r="D251" t="s">
        <v>11</v>
      </c>
      <c r="E251" t="s">
        <v>12</v>
      </c>
      <c r="F251">
        <v>1</v>
      </c>
      <c r="G251">
        <v>332</v>
      </c>
      <c r="H251" t="s">
        <v>13</v>
      </c>
      <c r="I251">
        <f t="shared" si="3"/>
        <v>332</v>
      </c>
      <c r="J251">
        <f>Table1[[#This Row],[total_revenue]] * 0.25</f>
        <v>83</v>
      </c>
      <c r="K251" t="str">
        <f>IF(Table1[[#This Row],[unit_price]]&gt;=500,"High",IF(Table1[[#This Row],[unit_price]]&gt;100,"Medium","Low"))</f>
        <v>Medium</v>
      </c>
    </row>
    <row r="252" spans="1:11" x14ac:dyDescent="0.45">
      <c r="A252">
        <v>3251</v>
      </c>
      <c r="B252" t="s">
        <v>167</v>
      </c>
      <c r="C252" t="s">
        <v>35</v>
      </c>
      <c r="D252" t="s">
        <v>16</v>
      </c>
      <c r="E252" t="s">
        <v>17</v>
      </c>
      <c r="F252">
        <v>5</v>
      </c>
      <c r="G252">
        <v>466</v>
      </c>
      <c r="H252" t="s">
        <v>13</v>
      </c>
      <c r="I252">
        <f t="shared" si="3"/>
        <v>2330</v>
      </c>
      <c r="J252">
        <f>Table1[[#This Row],[total_revenue]] * 0.25</f>
        <v>582.5</v>
      </c>
      <c r="K252" t="str">
        <f>IF(Table1[[#This Row],[unit_price]]&gt;=500,"High",IF(Table1[[#This Row],[unit_price]]&gt;100,"Medium","Low"))</f>
        <v>Medium</v>
      </c>
    </row>
    <row r="253" spans="1:11" x14ac:dyDescent="0.45">
      <c r="A253">
        <v>3252</v>
      </c>
      <c r="B253" t="s">
        <v>168</v>
      </c>
      <c r="C253" t="s">
        <v>27</v>
      </c>
      <c r="D253" t="s">
        <v>36</v>
      </c>
      <c r="E253" t="s">
        <v>12</v>
      </c>
      <c r="F253">
        <v>5</v>
      </c>
      <c r="G253">
        <v>148</v>
      </c>
      <c r="H253" t="s">
        <v>13</v>
      </c>
      <c r="I253">
        <f t="shared" si="3"/>
        <v>740</v>
      </c>
      <c r="J253">
        <f>Table1[[#This Row],[total_revenue]] * 0.25</f>
        <v>185</v>
      </c>
      <c r="K253" t="str">
        <f>IF(Table1[[#This Row],[unit_price]]&gt;=500,"High",IF(Table1[[#This Row],[unit_price]]&gt;100,"Medium","Low"))</f>
        <v>Medium</v>
      </c>
    </row>
    <row r="254" spans="1:11" x14ac:dyDescent="0.45">
      <c r="A254">
        <v>3253</v>
      </c>
      <c r="B254" t="s">
        <v>33</v>
      </c>
      <c r="C254" t="s">
        <v>32</v>
      </c>
      <c r="D254" t="s">
        <v>28</v>
      </c>
      <c r="E254" t="s">
        <v>17</v>
      </c>
      <c r="F254">
        <v>5</v>
      </c>
      <c r="G254">
        <v>-3</v>
      </c>
      <c r="H254" t="s">
        <v>20</v>
      </c>
      <c r="I254">
        <f t="shared" si="3"/>
        <v>-15</v>
      </c>
      <c r="J254">
        <f>Table1[[#This Row],[total_revenue]] * 0.25</f>
        <v>-3.75</v>
      </c>
      <c r="K254" t="str">
        <f>IF(Table1[[#This Row],[unit_price]]&gt;=500,"High",IF(Table1[[#This Row],[unit_price]]&gt;100,"Medium","Low"))</f>
        <v>Low</v>
      </c>
    </row>
    <row r="255" spans="1:11" x14ac:dyDescent="0.45">
      <c r="A255">
        <v>3254</v>
      </c>
      <c r="B255" t="s">
        <v>115</v>
      </c>
      <c r="C255" t="s">
        <v>61</v>
      </c>
      <c r="D255" t="s">
        <v>16</v>
      </c>
      <c r="E255" t="s">
        <v>17</v>
      </c>
      <c r="F255">
        <v>6</v>
      </c>
      <c r="G255">
        <v>410</v>
      </c>
      <c r="H255" t="s">
        <v>13</v>
      </c>
      <c r="I255">
        <f t="shared" si="3"/>
        <v>2460</v>
      </c>
      <c r="J255">
        <f>Table1[[#This Row],[total_revenue]] * 0.25</f>
        <v>615</v>
      </c>
      <c r="K255" t="str">
        <f>IF(Table1[[#This Row],[unit_price]]&gt;=500,"High",IF(Table1[[#This Row],[unit_price]]&gt;100,"Medium","Low"))</f>
        <v>Medium</v>
      </c>
    </row>
    <row r="256" spans="1:11" x14ac:dyDescent="0.45">
      <c r="A256">
        <v>3255</v>
      </c>
      <c r="B256" t="s">
        <v>45</v>
      </c>
      <c r="C256" t="s">
        <v>52</v>
      </c>
      <c r="D256" t="s">
        <v>56</v>
      </c>
      <c r="E256" t="s">
        <v>17</v>
      </c>
      <c r="F256">
        <v>5</v>
      </c>
      <c r="G256">
        <v>881</v>
      </c>
      <c r="H256" t="s">
        <v>20</v>
      </c>
      <c r="I256">
        <f t="shared" si="3"/>
        <v>4405</v>
      </c>
      <c r="J256">
        <f>Table1[[#This Row],[total_revenue]] * 0.25</f>
        <v>1101.25</v>
      </c>
      <c r="K256" t="str">
        <f>IF(Table1[[#This Row],[unit_price]]&gt;=500,"High",IF(Table1[[#This Row],[unit_price]]&gt;100,"Medium","Low"))</f>
        <v>High</v>
      </c>
    </row>
    <row r="257" spans="1:11" x14ac:dyDescent="0.45">
      <c r="A257">
        <v>3256</v>
      </c>
      <c r="B257" t="s">
        <v>86</v>
      </c>
      <c r="C257" t="s">
        <v>35</v>
      </c>
      <c r="D257" t="s">
        <v>41</v>
      </c>
      <c r="E257" t="s">
        <v>12</v>
      </c>
      <c r="F257">
        <v>2</v>
      </c>
      <c r="G257">
        <v>253</v>
      </c>
      <c r="H257" t="s">
        <v>13</v>
      </c>
      <c r="I257">
        <f t="shared" si="3"/>
        <v>506</v>
      </c>
      <c r="J257">
        <f>Table1[[#This Row],[total_revenue]] * 0.25</f>
        <v>126.5</v>
      </c>
      <c r="K257" t="str">
        <f>IF(Table1[[#This Row],[unit_price]]&gt;=500,"High",IF(Table1[[#This Row],[unit_price]]&gt;100,"Medium","Low"))</f>
        <v>Medium</v>
      </c>
    </row>
    <row r="258" spans="1:11" x14ac:dyDescent="0.45">
      <c r="A258">
        <v>3257</v>
      </c>
      <c r="B258" t="s">
        <v>169</v>
      </c>
      <c r="C258" t="s">
        <v>30</v>
      </c>
      <c r="D258" t="s">
        <v>11</v>
      </c>
      <c r="E258" t="s">
        <v>12</v>
      </c>
      <c r="F258">
        <v>2</v>
      </c>
      <c r="G258">
        <v>356</v>
      </c>
      <c r="H258" t="s">
        <v>25</v>
      </c>
      <c r="I258">
        <f t="shared" ref="I258:I321" si="4">F258*G258</f>
        <v>712</v>
      </c>
      <c r="J258">
        <f>Table1[[#This Row],[total_revenue]] * 0.25</f>
        <v>178</v>
      </c>
      <c r="K258" t="str">
        <f>IF(Table1[[#This Row],[unit_price]]&gt;=500,"High",IF(Table1[[#This Row],[unit_price]]&gt;100,"Medium","Low"))</f>
        <v>Medium</v>
      </c>
    </row>
    <row r="259" spans="1:11" x14ac:dyDescent="0.45">
      <c r="A259">
        <v>3258</v>
      </c>
      <c r="B259" t="s">
        <v>83</v>
      </c>
      <c r="C259" t="s">
        <v>35</v>
      </c>
      <c r="D259" t="s">
        <v>28</v>
      </c>
      <c r="E259" t="s">
        <v>17</v>
      </c>
      <c r="F259">
        <v>5</v>
      </c>
      <c r="G259">
        <v>40</v>
      </c>
      <c r="H259" t="s">
        <v>13</v>
      </c>
      <c r="I259">
        <f t="shared" si="4"/>
        <v>200</v>
      </c>
      <c r="J259">
        <f>Table1[[#This Row],[total_revenue]] * 0.25</f>
        <v>50</v>
      </c>
      <c r="K259" t="str">
        <f>IF(Table1[[#This Row],[unit_price]]&gt;=500,"High",IF(Table1[[#This Row],[unit_price]]&gt;100,"Medium","Low"))</f>
        <v>Low</v>
      </c>
    </row>
    <row r="260" spans="1:11" x14ac:dyDescent="0.45">
      <c r="A260">
        <v>3259</v>
      </c>
      <c r="B260" t="s">
        <v>170</v>
      </c>
      <c r="C260" t="s">
        <v>59</v>
      </c>
      <c r="D260" t="s">
        <v>38</v>
      </c>
      <c r="E260" t="s">
        <v>17</v>
      </c>
      <c r="F260">
        <v>5</v>
      </c>
      <c r="G260">
        <v>153</v>
      </c>
      <c r="H260" t="s">
        <v>20</v>
      </c>
      <c r="I260">
        <f t="shared" si="4"/>
        <v>765</v>
      </c>
      <c r="J260">
        <f>Table1[[#This Row],[total_revenue]] * 0.25</f>
        <v>191.25</v>
      </c>
      <c r="K260" t="str">
        <f>IF(Table1[[#This Row],[unit_price]]&gt;=500,"High",IF(Table1[[#This Row],[unit_price]]&gt;100,"Medium","Low"))</f>
        <v>Medium</v>
      </c>
    </row>
    <row r="261" spans="1:11" x14ac:dyDescent="0.45">
      <c r="A261">
        <v>3260</v>
      </c>
      <c r="B261" t="s">
        <v>159</v>
      </c>
      <c r="C261" t="s">
        <v>27</v>
      </c>
      <c r="D261" t="s">
        <v>22</v>
      </c>
      <c r="E261" t="s">
        <v>17</v>
      </c>
      <c r="F261">
        <v>5</v>
      </c>
      <c r="G261">
        <v>6</v>
      </c>
      <c r="H261" t="s">
        <v>20</v>
      </c>
      <c r="I261">
        <f t="shared" si="4"/>
        <v>30</v>
      </c>
      <c r="J261">
        <f>Table1[[#This Row],[total_revenue]] * 0.25</f>
        <v>7.5</v>
      </c>
      <c r="K261" t="str">
        <f>IF(Table1[[#This Row],[unit_price]]&gt;=500,"High",IF(Table1[[#This Row],[unit_price]]&gt;100,"Medium","Low"))</f>
        <v>Low</v>
      </c>
    </row>
    <row r="262" spans="1:11" x14ac:dyDescent="0.45">
      <c r="A262">
        <v>3261</v>
      </c>
      <c r="B262" t="s">
        <v>147</v>
      </c>
      <c r="C262" t="s">
        <v>32</v>
      </c>
      <c r="D262" t="s">
        <v>22</v>
      </c>
      <c r="E262" t="s">
        <v>17</v>
      </c>
      <c r="F262">
        <v>2</v>
      </c>
      <c r="G262">
        <v>-11</v>
      </c>
      <c r="H262" t="s">
        <v>25</v>
      </c>
      <c r="I262">
        <f t="shared" si="4"/>
        <v>-22</v>
      </c>
      <c r="J262">
        <f>Table1[[#This Row],[total_revenue]] * 0.25</f>
        <v>-5.5</v>
      </c>
      <c r="K262" t="str">
        <f>IF(Table1[[#This Row],[unit_price]]&gt;=500,"High",IF(Table1[[#This Row],[unit_price]]&gt;100,"Medium","Low"))</f>
        <v>Low</v>
      </c>
    </row>
    <row r="263" spans="1:11" x14ac:dyDescent="0.45">
      <c r="A263">
        <v>3262</v>
      </c>
      <c r="B263" t="s">
        <v>64</v>
      </c>
      <c r="C263" t="s">
        <v>59</v>
      </c>
      <c r="D263" t="s">
        <v>38</v>
      </c>
      <c r="E263" t="s">
        <v>17</v>
      </c>
      <c r="F263">
        <v>2</v>
      </c>
      <c r="G263">
        <v>192</v>
      </c>
      <c r="H263" t="s">
        <v>13</v>
      </c>
      <c r="I263">
        <f t="shared" si="4"/>
        <v>384</v>
      </c>
      <c r="J263">
        <f>Table1[[#This Row],[total_revenue]] * 0.25</f>
        <v>96</v>
      </c>
      <c r="K263" t="str">
        <f>IF(Table1[[#This Row],[unit_price]]&gt;=500,"High",IF(Table1[[#This Row],[unit_price]]&gt;100,"Medium","Low"))</f>
        <v>Medium</v>
      </c>
    </row>
    <row r="264" spans="1:11" x14ac:dyDescent="0.45">
      <c r="A264">
        <v>3263</v>
      </c>
      <c r="B264" t="s">
        <v>171</v>
      </c>
      <c r="C264" t="s">
        <v>27</v>
      </c>
      <c r="D264" t="s">
        <v>22</v>
      </c>
      <c r="E264" t="s">
        <v>17</v>
      </c>
      <c r="F264">
        <v>6</v>
      </c>
      <c r="G264">
        <v>-13</v>
      </c>
      <c r="H264" t="s">
        <v>20</v>
      </c>
      <c r="I264">
        <f t="shared" si="4"/>
        <v>-78</v>
      </c>
      <c r="J264">
        <f>Table1[[#This Row],[total_revenue]] * 0.25</f>
        <v>-19.5</v>
      </c>
      <c r="K264" t="str">
        <f>IF(Table1[[#This Row],[unit_price]]&gt;=500,"High",IF(Table1[[#This Row],[unit_price]]&gt;100,"Medium","Low"))</f>
        <v>Low</v>
      </c>
    </row>
    <row r="265" spans="1:11" x14ac:dyDescent="0.45">
      <c r="A265">
        <v>3264</v>
      </c>
      <c r="B265" t="s">
        <v>9</v>
      </c>
      <c r="C265" t="s">
        <v>15</v>
      </c>
      <c r="D265" t="s">
        <v>41</v>
      </c>
      <c r="E265" t="s">
        <v>12</v>
      </c>
      <c r="F265">
        <v>4</v>
      </c>
      <c r="G265">
        <v>252</v>
      </c>
      <c r="H265" t="s">
        <v>25</v>
      </c>
      <c r="I265">
        <f t="shared" si="4"/>
        <v>1008</v>
      </c>
      <c r="J265">
        <f>Table1[[#This Row],[total_revenue]] * 0.25</f>
        <v>252</v>
      </c>
      <c r="K265" t="str">
        <f>IF(Table1[[#This Row],[unit_price]]&gt;=500,"High",IF(Table1[[#This Row],[unit_price]]&gt;100,"Medium","Low"))</f>
        <v>Medium</v>
      </c>
    </row>
    <row r="266" spans="1:11" x14ac:dyDescent="0.45">
      <c r="A266">
        <v>3265</v>
      </c>
      <c r="B266" t="s">
        <v>76</v>
      </c>
      <c r="C266" t="s">
        <v>61</v>
      </c>
      <c r="D266" t="s">
        <v>16</v>
      </c>
      <c r="E266" t="s">
        <v>17</v>
      </c>
      <c r="F266">
        <v>5</v>
      </c>
      <c r="G266">
        <v>432</v>
      </c>
      <c r="H266" t="s">
        <v>13</v>
      </c>
      <c r="I266">
        <f t="shared" si="4"/>
        <v>2160</v>
      </c>
      <c r="J266">
        <f>Table1[[#This Row],[total_revenue]] * 0.25</f>
        <v>540</v>
      </c>
      <c r="K266" t="str">
        <f>IF(Table1[[#This Row],[unit_price]]&gt;=500,"High",IF(Table1[[#This Row],[unit_price]]&gt;100,"Medium","Low"))</f>
        <v>Medium</v>
      </c>
    </row>
    <row r="267" spans="1:11" x14ac:dyDescent="0.45">
      <c r="A267">
        <v>3266</v>
      </c>
      <c r="B267" t="s">
        <v>172</v>
      </c>
      <c r="C267" t="s">
        <v>27</v>
      </c>
      <c r="D267" t="s">
        <v>56</v>
      </c>
      <c r="E267" t="s">
        <v>17</v>
      </c>
      <c r="F267">
        <v>6</v>
      </c>
      <c r="G267">
        <v>882</v>
      </c>
      <c r="H267" t="s">
        <v>13</v>
      </c>
      <c r="I267">
        <f t="shared" si="4"/>
        <v>5292</v>
      </c>
      <c r="J267">
        <f>Table1[[#This Row],[total_revenue]] * 0.25</f>
        <v>1323</v>
      </c>
      <c r="K267" t="str">
        <f>IF(Table1[[#This Row],[unit_price]]&gt;=500,"High",IF(Table1[[#This Row],[unit_price]]&gt;100,"Medium","Low"))</f>
        <v>High</v>
      </c>
    </row>
    <row r="268" spans="1:11" x14ac:dyDescent="0.45">
      <c r="A268">
        <v>3267</v>
      </c>
      <c r="B268" t="s">
        <v>91</v>
      </c>
      <c r="C268" t="s">
        <v>15</v>
      </c>
      <c r="D268" t="s">
        <v>16</v>
      </c>
      <c r="E268" t="s">
        <v>17</v>
      </c>
      <c r="F268">
        <v>6</v>
      </c>
      <c r="G268">
        <v>485</v>
      </c>
      <c r="H268" t="s">
        <v>20</v>
      </c>
      <c r="I268">
        <f t="shared" si="4"/>
        <v>2910</v>
      </c>
      <c r="J268">
        <f>Table1[[#This Row],[total_revenue]] * 0.25</f>
        <v>727.5</v>
      </c>
      <c r="K268" t="str">
        <f>IF(Table1[[#This Row],[unit_price]]&gt;=500,"High",IF(Table1[[#This Row],[unit_price]]&gt;100,"Medium","Low"))</f>
        <v>Medium</v>
      </c>
    </row>
    <row r="269" spans="1:11" x14ac:dyDescent="0.45">
      <c r="A269">
        <v>3268</v>
      </c>
      <c r="B269" t="s">
        <v>148</v>
      </c>
      <c r="C269" t="s">
        <v>32</v>
      </c>
      <c r="D269" t="s">
        <v>38</v>
      </c>
      <c r="E269" t="s">
        <v>17</v>
      </c>
      <c r="F269">
        <v>5</v>
      </c>
      <c r="G269">
        <v>241</v>
      </c>
      <c r="H269" t="s">
        <v>20</v>
      </c>
      <c r="I269">
        <f t="shared" si="4"/>
        <v>1205</v>
      </c>
      <c r="J269">
        <f>Table1[[#This Row],[total_revenue]] * 0.25</f>
        <v>301.25</v>
      </c>
      <c r="K269" t="str">
        <f>IF(Table1[[#This Row],[unit_price]]&gt;=500,"High",IF(Table1[[#This Row],[unit_price]]&gt;100,"Medium","Low"))</f>
        <v>Medium</v>
      </c>
    </row>
    <row r="270" spans="1:11" x14ac:dyDescent="0.45">
      <c r="A270">
        <v>3269</v>
      </c>
      <c r="B270" t="s">
        <v>153</v>
      </c>
      <c r="C270" t="s">
        <v>27</v>
      </c>
      <c r="D270" t="s">
        <v>56</v>
      </c>
      <c r="E270" t="s">
        <v>17</v>
      </c>
      <c r="F270">
        <v>5</v>
      </c>
      <c r="G270">
        <v>940</v>
      </c>
      <c r="H270" t="s">
        <v>20</v>
      </c>
      <c r="I270">
        <f t="shared" si="4"/>
        <v>4700</v>
      </c>
      <c r="J270">
        <f>Table1[[#This Row],[total_revenue]] * 0.25</f>
        <v>1175</v>
      </c>
      <c r="K270" t="str">
        <f>IF(Table1[[#This Row],[unit_price]]&gt;=500,"High",IF(Table1[[#This Row],[unit_price]]&gt;100,"Medium","Low"))</f>
        <v>High</v>
      </c>
    </row>
    <row r="271" spans="1:11" x14ac:dyDescent="0.45">
      <c r="A271">
        <v>3270</v>
      </c>
      <c r="B271" t="s">
        <v>140</v>
      </c>
      <c r="C271" t="s">
        <v>15</v>
      </c>
      <c r="D271" t="s">
        <v>28</v>
      </c>
      <c r="E271" t="s">
        <v>17</v>
      </c>
      <c r="F271">
        <v>2</v>
      </c>
      <c r="G271">
        <v>62</v>
      </c>
      <c r="H271" t="s">
        <v>20</v>
      </c>
      <c r="I271">
        <f t="shared" si="4"/>
        <v>124</v>
      </c>
      <c r="J271">
        <f>Table1[[#This Row],[total_revenue]] * 0.25</f>
        <v>31</v>
      </c>
      <c r="K271" t="str">
        <f>IF(Table1[[#This Row],[unit_price]]&gt;=500,"High",IF(Table1[[#This Row],[unit_price]]&gt;100,"Medium","Low"))</f>
        <v>Low</v>
      </c>
    </row>
    <row r="272" spans="1:11" x14ac:dyDescent="0.45">
      <c r="A272">
        <v>3271</v>
      </c>
      <c r="B272" t="s">
        <v>156</v>
      </c>
      <c r="C272" t="s">
        <v>27</v>
      </c>
      <c r="D272" t="s">
        <v>22</v>
      </c>
      <c r="E272" t="s">
        <v>17</v>
      </c>
      <c r="F272">
        <v>6</v>
      </c>
      <c r="G272">
        <v>12</v>
      </c>
      <c r="H272" t="s">
        <v>25</v>
      </c>
      <c r="I272">
        <f t="shared" si="4"/>
        <v>72</v>
      </c>
      <c r="J272">
        <f>Table1[[#This Row],[total_revenue]] * 0.25</f>
        <v>18</v>
      </c>
      <c r="K272" t="str">
        <f>IF(Table1[[#This Row],[unit_price]]&gt;=500,"High",IF(Table1[[#This Row],[unit_price]]&gt;100,"Medium","Low"))</f>
        <v>Low</v>
      </c>
    </row>
    <row r="273" spans="1:11" x14ac:dyDescent="0.45">
      <c r="A273">
        <v>3272</v>
      </c>
      <c r="B273" t="s">
        <v>173</v>
      </c>
      <c r="C273" t="s">
        <v>43</v>
      </c>
      <c r="D273" t="s">
        <v>56</v>
      </c>
      <c r="E273" t="s">
        <v>17</v>
      </c>
      <c r="F273">
        <v>2</v>
      </c>
      <c r="G273">
        <v>929</v>
      </c>
      <c r="H273" t="s">
        <v>20</v>
      </c>
      <c r="I273">
        <f t="shared" si="4"/>
        <v>1858</v>
      </c>
      <c r="J273">
        <f>Table1[[#This Row],[total_revenue]] * 0.25</f>
        <v>464.5</v>
      </c>
      <c r="K273" t="str">
        <f>IF(Table1[[#This Row],[unit_price]]&gt;=500,"High",IF(Table1[[#This Row],[unit_price]]&gt;100,"Medium","Low"))</f>
        <v>High</v>
      </c>
    </row>
    <row r="274" spans="1:11" x14ac:dyDescent="0.45">
      <c r="A274">
        <v>3273</v>
      </c>
      <c r="B274" t="s">
        <v>174</v>
      </c>
      <c r="C274" t="s">
        <v>27</v>
      </c>
      <c r="D274" t="s">
        <v>28</v>
      </c>
      <c r="E274" t="s">
        <v>17</v>
      </c>
      <c r="F274">
        <v>6</v>
      </c>
      <c r="G274">
        <v>-17</v>
      </c>
      <c r="H274" t="s">
        <v>20</v>
      </c>
      <c r="I274">
        <f t="shared" si="4"/>
        <v>-102</v>
      </c>
      <c r="J274">
        <f>Table1[[#This Row],[total_revenue]] * 0.25</f>
        <v>-25.5</v>
      </c>
      <c r="K274" t="str">
        <f>IF(Table1[[#This Row],[unit_price]]&gt;=500,"High",IF(Table1[[#This Row],[unit_price]]&gt;100,"Medium","Low"))</f>
        <v>Low</v>
      </c>
    </row>
    <row r="275" spans="1:11" x14ac:dyDescent="0.45">
      <c r="A275">
        <v>3274</v>
      </c>
      <c r="B275" t="s">
        <v>174</v>
      </c>
      <c r="C275" t="s">
        <v>35</v>
      </c>
      <c r="D275" t="s">
        <v>28</v>
      </c>
      <c r="E275" t="s">
        <v>17</v>
      </c>
      <c r="F275">
        <v>2</v>
      </c>
      <c r="G275">
        <v>-23</v>
      </c>
      <c r="H275" t="s">
        <v>13</v>
      </c>
      <c r="I275">
        <f t="shared" si="4"/>
        <v>-46</v>
      </c>
      <c r="J275">
        <f>Table1[[#This Row],[total_revenue]] * 0.25</f>
        <v>-11.5</v>
      </c>
      <c r="K275" t="str">
        <f>IF(Table1[[#This Row],[unit_price]]&gt;=500,"High",IF(Table1[[#This Row],[unit_price]]&gt;100,"Medium","Low"))</f>
        <v>Low</v>
      </c>
    </row>
    <row r="276" spans="1:11" x14ac:dyDescent="0.45">
      <c r="A276">
        <v>3275</v>
      </c>
      <c r="B276" t="s">
        <v>53</v>
      </c>
      <c r="C276" t="s">
        <v>43</v>
      </c>
      <c r="D276" t="s">
        <v>38</v>
      </c>
      <c r="E276" t="s">
        <v>17</v>
      </c>
      <c r="F276">
        <v>1</v>
      </c>
      <c r="G276">
        <v>197</v>
      </c>
      <c r="H276" t="s">
        <v>25</v>
      </c>
      <c r="I276">
        <f t="shared" si="4"/>
        <v>197</v>
      </c>
      <c r="J276">
        <f>Table1[[#This Row],[total_revenue]] * 0.25</f>
        <v>49.25</v>
      </c>
      <c r="K276" t="str">
        <f>IF(Table1[[#This Row],[unit_price]]&gt;=500,"High",IF(Table1[[#This Row],[unit_price]]&gt;100,"Medium","Low"))</f>
        <v>Medium</v>
      </c>
    </row>
    <row r="277" spans="1:11" x14ac:dyDescent="0.45">
      <c r="A277">
        <v>3276</v>
      </c>
      <c r="B277" t="s">
        <v>100</v>
      </c>
      <c r="C277" t="s">
        <v>27</v>
      </c>
      <c r="D277" t="s">
        <v>56</v>
      </c>
      <c r="E277" t="s">
        <v>17</v>
      </c>
      <c r="F277">
        <v>4</v>
      </c>
      <c r="G277">
        <v>910</v>
      </c>
      <c r="H277" t="s">
        <v>25</v>
      </c>
      <c r="I277">
        <f t="shared" si="4"/>
        <v>3640</v>
      </c>
      <c r="J277">
        <f>Table1[[#This Row],[total_revenue]] * 0.25</f>
        <v>910</v>
      </c>
      <c r="K277" t="str">
        <f>IF(Table1[[#This Row],[unit_price]]&gt;=500,"High",IF(Table1[[#This Row],[unit_price]]&gt;100,"Medium","Low"))</f>
        <v>High</v>
      </c>
    </row>
    <row r="278" spans="1:11" x14ac:dyDescent="0.45">
      <c r="A278">
        <v>3277</v>
      </c>
      <c r="B278" t="s">
        <v>175</v>
      </c>
      <c r="C278" t="s">
        <v>32</v>
      </c>
      <c r="D278" t="s">
        <v>38</v>
      </c>
      <c r="E278" t="s">
        <v>17</v>
      </c>
      <c r="F278">
        <v>6</v>
      </c>
      <c r="G278">
        <v>182</v>
      </c>
      <c r="H278" t="s">
        <v>25</v>
      </c>
      <c r="I278">
        <f t="shared" si="4"/>
        <v>1092</v>
      </c>
      <c r="J278">
        <f>Table1[[#This Row],[total_revenue]] * 0.25</f>
        <v>273</v>
      </c>
      <c r="K278" t="str">
        <f>IF(Table1[[#This Row],[unit_price]]&gt;=500,"High",IF(Table1[[#This Row],[unit_price]]&gt;100,"Medium","Low"))</f>
        <v>Medium</v>
      </c>
    </row>
    <row r="279" spans="1:11" x14ac:dyDescent="0.45">
      <c r="A279">
        <v>3278</v>
      </c>
      <c r="B279" t="s">
        <v>176</v>
      </c>
      <c r="C279" t="s">
        <v>52</v>
      </c>
      <c r="D279" t="s">
        <v>41</v>
      </c>
      <c r="E279" t="s">
        <v>12</v>
      </c>
      <c r="F279">
        <v>1</v>
      </c>
      <c r="G279">
        <v>305</v>
      </c>
      <c r="H279" t="s">
        <v>13</v>
      </c>
      <c r="I279">
        <f t="shared" si="4"/>
        <v>305</v>
      </c>
      <c r="J279">
        <f>Table1[[#This Row],[total_revenue]] * 0.25</f>
        <v>76.25</v>
      </c>
      <c r="K279" t="str">
        <f>IF(Table1[[#This Row],[unit_price]]&gt;=500,"High",IF(Table1[[#This Row],[unit_price]]&gt;100,"Medium","Low"))</f>
        <v>Medium</v>
      </c>
    </row>
    <row r="280" spans="1:11" x14ac:dyDescent="0.45">
      <c r="A280">
        <v>3279</v>
      </c>
      <c r="B280" t="s">
        <v>110</v>
      </c>
      <c r="C280" t="s">
        <v>24</v>
      </c>
      <c r="D280" t="s">
        <v>41</v>
      </c>
      <c r="E280" t="s">
        <v>12</v>
      </c>
      <c r="F280">
        <v>4</v>
      </c>
      <c r="G280">
        <v>303</v>
      </c>
      <c r="H280" t="s">
        <v>20</v>
      </c>
      <c r="I280">
        <f t="shared" si="4"/>
        <v>1212</v>
      </c>
      <c r="J280">
        <f>Table1[[#This Row],[total_revenue]] * 0.25</f>
        <v>303</v>
      </c>
      <c r="K280" t="str">
        <f>IF(Table1[[#This Row],[unit_price]]&gt;=500,"High",IF(Table1[[#This Row],[unit_price]]&gt;100,"Medium","Low"))</f>
        <v>Medium</v>
      </c>
    </row>
    <row r="281" spans="1:11" x14ac:dyDescent="0.45">
      <c r="A281">
        <v>3280</v>
      </c>
      <c r="B281" t="s">
        <v>177</v>
      </c>
      <c r="C281" t="s">
        <v>61</v>
      </c>
      <c r="D281" t="s">
        <v>38</v>
      </c>
      <c r="E281" t="s">
        <v>17</v>
      </c>
      <c r="F281">
        <v>5</v>
      </c>
      <c r="G281">
        <v>248</v>
      </c>
      <c r="H281" t="s">
        <v>13</v>
      </c>
      <c r="I281">
        <f t="shared" si="4"/>
        <v>1240</v>
      </c>
      <c r="J281">
        <f>Table1[[#This Row],[total_revenue]] * 0.25</f>
        <v>310</v>
      </c>
      <c r="K281" t="str">
        <f>IF(Table1[[#This Row],[unit_price]]&gt;=500,"High",IF(Table1[[#This Row],[unit_price]]&gt;100,"Medium","Low"))</f>
        <v>Medium</v>
      </c>
    </row>
    <row r="282" spans="1:11" x14ac:dyDescent="0.45">
      <c r="A282">
        <v>3281</v>
      </c>
      <c r="B282" t="s">
        <v>126</v>
      </c>
      <c r="C282" t="s">
        <v>24</v>
      </c>
      <c r="D282" t="s">
        <v>65</v>
      </c>
      <c r="E282" t="s">
        <v>17</v>
      </c>
      <c r="F282">
        <v>6</v>
      </c>
      <c r="G282">
        <v>120</v>
      </c>
      <c r="H282" t="s">
        <v>25</v>
      </c>
      <c r="I282">
        <f t="shared" si="4"/>
        <v>720</v>
      </c>
      <c r="J282">
        <f>Table1[[#This Row],[total_revenue]] * 0.25</f>
        <v>180</v>
      </c>
      <c r="K282" t="str">
        <f>IF(Table1[[#This Row],[unit_price]]&gt;=500,"High",IF(Table1[[#This Row],[unit_price]]&gt;100,"Medium","Low"))</f>
        <v>Medium</v>
      </c>
    </row>
    <row r="283" spans="1:11" x14ac:dyDescent="0.45">
      <c r="A283">
        <v>3282</v>
      </c>
      <c r="B283" t="s">
        <v>178</v>
      </c>
      <c r="C283" t="s">
        <v>32</v>
      </c>
      <c r="D283" t="s">
        <v>16</v>
      </c>
      <c r="E283" t="s">
        <v>17</v>
      </c>
      <c r="F283">
        <v>6</v>
      </c>
      <c r="G283">
        <v>418</v>
      </c>
      <c r="H283" t="s">
        <v>20</v>
      </c>
      <c r="I283">
        <f t="shared" si="4"/>
        <v>2508</v>
      </c>
      <c r="J283">
        <f>Table1[[#This Row],[total_revenue]] * 0.25</f>
        <v>627</v>
      </c>
      <c r="K283" t="str">
        <f>IF(Table1[[#This Row],[unit_price]]&gt;=500,"High",IF(Table1[[#This Row],[unit_price]]&gt;100,"Medium","Low"))</f>
        <v>Medium</v>
      </c>
    </row>
    <row r="284" spans="1:11" x14ac:dyDescent="0.45">
      <c r="A284">
        <v>3283</v>
      </c>
      <c r="B284" t="s">
        <v>127</v>
      </c>
      <c r="C284" t="s">
        <v>52</v>
      </c>
      <c r="D284" t="s">
        <v>41</v>
      </c>
      <c r="E284" t="s">
        <v>12</v>
      </c>
      <c r="F284">
        <v>3</v>
      </c>
      <c r="G284">
        <v>338</v>
      </c>
      <c r="H284" t="s">
        <v>13</v>
      </c>
      <c r="I284">
        <f t="shared" si="4"/>
        <v>1014</v>
      </c>
      <c r="J284">
        <f>Table1[[#This Row],[total_revenue]] * 0.25</f>
        <v>253.5</v>
      </c>
      <c r="K284" t="str">
        <f>IF(Table1[[#This Row],[unit_price]]&gt;=500,"High",IF(Table1[[#This Row],[unit_price]]&gt;100,"Medium","Low"))</f>
        <v>Medium</v>
      </c>
    </row>
    <row r="285" spans="1:11" x14ac:dyDescent="0.45">
      <c r="A285">
        <v>3284</v>
      </c>
      <c r="B285" t="s">
        <v>179</v>
      </c>
      <c r="C285" t="s">
        <v>24</v>
      </c>
      <c r="D285" t="s">
        <v>38</v>
      </c>
      <c r="E285" t="s">
        <v>17</v>
      </c>
      <c r="F285">
        <v>4</v>
      </c>
      <c r="G285">
        <v>203</v>
      </c>
      <c r="H285" t="s">
        <v>20</v>
      </c>
      <c r="I285">
        <f t="shared" si="4"/>
        <v>812</v>
      </c>
      <c r="J285">
        <f>Table1[[#This Row],[total_revenue]] * 0.25</f>
        <v>203</v>
      </c>
      <c r="K285" t="str">
        <f>IF(Table1[[#This Row],[unit_price]]&gt;=500,"High",IF(Table1[[#This Row],[unit_price]]&gt;100,"Medium","Low"))</f>
        <v>Medium</v>
      </c>
    </row>
    <row r="286" spans="1:11" x14ac:dyDescent="0.45">
      <c r="A286">
        <v>3285</v>
      </c>
      <c r="B286" t="s">
        <v>34</v>
      </c>
      <c r="C286" t="s">
        <v>43</v>
      </c>
      <c r="D286" t="s">
        <v>65</v>
      </c>
      <c r="E286" t="s">
        <v>17</v>
      </c>
      <c r="F286">
        <v>3</v>
      </c>
      <c r="G286">
        <v>102</v>
      </c>
      <c r="H286" t="s">
        <v>13</v>
      </c>
      <c r="I286">
        <f t="shared" si="4"/>
        <v>306</v>
      </c>
      <c r="J286">
        <f>Table1[[#This Row],[total_revenue]] * 0.25</f>
        <v>76.5</v>
      </c>
      <c r="K286" t="str">
        <f>IF(Table1[[#This Row],[unit_price]]&gt;=500,"High",IF(Table1[[#This Row],[unit_price]]&gt;100,"Medium","Low"))</f>
        <v>Medium</v>
      </c>
    </row>
    <row r="287" spans="1:11" x14ac:dyDescent="0.45">
      <c r="A287">
        <v>3286</v>
      </c>
      <c r="B287" t="s">
        <v>139</v>
      </c>
      <c r="C287" t="s">
        <v>15</v>
      </c>
      <c r="D287" t="s">
        <v>56</v>
      </c>
      <c r="E287" t="s">
        <v>17</v>
      </c>
      <c r="F287">
        <v>4</v>
      </c>
      <c r="G287">
        <v>869</v>
      </c>
      <c r="H287" t="s">
        <v>20</v>
      </c>
      <c r="I287">
        <f t="shared" si="4"/>
        <v>3476</v>
      </c>
      <c r="J287">
        <f>Table1[[#This Row],[total_revenue]] * 0.25</f>
        <v>869</v>
      </c>
      <c r="K287" t="str">
        <f>IF(Table1[[#This Row],[unit_price]]&gt;=500,"High",IF(Table1[[#This Row],[unit_price]]&gt;100,"Medium","Low"))</f>
        <v>High</v>
      </c>
    </row>
    <row r="288" spans="1:11" x14ac:dyDescent="0.45">
      <c r="A288">
        <v>3287</v>
      </c>
      <c r="B288" t="s">
        <v>77</v>
      </c>
      <c r="C288" t="s">
        <v>15</v>
      </c>
      <c r="D288" t="s">
        <v>38</v>
      </c>
      <c r="E288" t="s">
        <v>17</v>
      </c>
      <c r="F288">
        <v>6</v>
      </c>
      <c r="G288">
        <v>199</v>
      </c>
      <c r="H288" t="s">
        <v>13</v>
      </c>
      <c r="I288">
        <f t="shared" si="4"/>
        <v>1194</v>
      </c>
      <c r="J288">
        <f>Table1[[#This Row],[total_revenue]] * 0.25</f>
        <v>298.5</v>
      </c>
      <c r="K288" t="str">
        <f>IF(Table1[[#This Row],[unit_price]]&gt;=500,"High",IF(Table1[[#This Row],[unit_price]]&gt;100,"Medium","Low"))</f>
        <v>Medium</v>
      </c>
    </row>
    <row r="289" spans="1:11" x14ac:dyDescent="0.45">
      <c r="A289">
        <v>3288</v>
      </c>
      <c r="B289" t="s">
        <v>130</v>
      </c>
      <c r="C289" t="s">
        <v>15</v>
      </c>
      <c r="D289" t="s">
        <v>28</v>
      </c>
      <c r="E289" t="s">
        <v>17</v>
      </c>
      <c r="F289">
        <v>3</v>
      </c>
      <c r="G289">
        <v>37</v>
      </c>
      <c r="H289" t="s">
        <v>13</v>
      </c>
      <c r="I289">
        <f t="shared" si="4"/>
        <v>111</v>
      </c>
      <c r="J289">
        <f>Table1[[#This Row],[total_revenue]] * 0.25</f>
        <v>27.75</v>
      </c>
      <c r="K289" t="str">
        <f>IF(Table1[[#This Row],[unit_price]]&gt;=500,"High",IF(Table1[[#This Row],[unit_price]]&gt;100,"Medium","Low"))</f>
        <v>Low</v>
      </c>
    </row>
    <row r="290" spans="1:11" x14ac:dyDescent="0.45">
      <c r="A290">
        <v>3289</v>
      </c>
      <c r="B290" t="s">
        <v>91</v>
      </c>
      <c r="C290" t="s">
        <v>10</v>
      </c>
      <c r="D290" t="s">
        <v>38</v>
      </c>
      <c r="E290" t="s">
        <v>17</v>
      </c>
      <c r="F290">
        <v>2</v>
      </c>
      <c r="G290">
        <v>162</v>
      </c>
      <c r="H290" t="s">
        <v>25</v>
      </c>
      <c r="I290">
        <f t="shared" si="4"/>
        <v>324</v>
      </c>
      <c r="J290">
        <f>Table1[[#This Row],[total_revenue]] * 0.25</f>
        <v>81</v>
      </c>
      <c r="K290" t="str">
        <f>IF(Table1[[#This Row],[unit_price]]&gt;=500,"High",IF(Table1[[#This Row],[unit_price]]&gt;100,"Medium","Low"))</f>
        <v>Medium</v>
      </c>
    </row>
    <row r="291" spans="1:11" x14ac:dyDescent="0.45">
      <c r="A291">
        <v>3290</v>
      </c>
      <c r="B291" t="s">
        <v>149</v>
      </c>
      <c r="C291" t="s">
        <v>19</v>
      </c>
      <c r="D291" t="s">
        <v>36</v>
      </c>
      <c r="E291" t="s">
        <v>12</v>
      </c>
      <c r="F291">
        <v>6</v>
      </c>
      <c r="G291">
        <v>125</v>
      </c>
      <c r="H291" t="s">
        <v>25</v>
      </c>
      <c r="I291">
        <f t="shared" si="4"/>
        <v>750</v>
      </c>
      <c r="J291">
        <f>Table1[[#This Row],[total_revenue]] * 0.25</f>
        <v>187.5</v>
      </c>
      <c r="K291" t="str">
        <f>IF(Table1[[#This Row],[unit_price]]&gt;=500,"High",IF(Table1[[#This Row],[unit_price]]&gt;100,"Medium","Low"))</f>
        <v>Medium</v>
      </c>
    </row>
    <row r="292" spans="1:11" x14ac:dyDescent="0.45">
      <c r="A292">
        <v>3291</v>
      </c>
      <c r="B292" t="s">
        <v>180</v>
      </c>
      <c r="C292" t="s">
        <v>59</v>
      </c>
      <c r="D292" t="s">
        <v>41</v>
      </c>
      <c r="E292" t="s">
        <v>12</v>
      </c>
      <c r="F292">
        <v>4</v>
      </c>
      <c r="G292">
        <v>322</v>
      </c>
      <c r="H292" t="s">
        <v>13</v>
      </c>
      <c r="I292">
        <f t="shared" si="4"/>
        <v>1288</v>
      </c>
      <c r="J292">
        <f>Table1[[#This Row],[total_revenue]] * 0.25</f>
        <v>322</v>
      </c>
      <c r="K292" t="str">
        <f>IF(Table1[[#This Row],[unit_price]]&gt;=500,"High",IF(Table1[[#This Row],[unit_price]]&gt;100,"Medium","Low"))</f>
        <v>Medium</v>
      </c>
    </row>
    <row r="293" spans="1:11" x14ac:dyDescent="0.45">
      <c r="A293">
        <v>3292</v>
      </c>
      <c r="B293" t="s">
        <v>156</v>
      </c>
      <c r="C293" t="s">
        <v>19</v>
      </c>
      <c r="D293" t="s">
        <v>36</v>
      </c>
      <c r="E293" t="s">
        <v>12</v>
      </c>
      <c r="F293">
        <v>4</v>
      </c>
      <c r="G293">
        <v>59</v>
      </c>
      <c r="H293" t="s">
        <v>25</v>
      </c>
      <c r="I293">
        <f t="shared" si="4"/>
        <v>236</v>
      </c>
      <c r="J293">
        <f>Table1[[#This Row],[total_revenue]] * 0.25</f>
        <v>59</v>
      </c>
      <c r="K293" t="str">
        <f>IF(Table1[[#This Row],[unit_price]]&gt;=500,"High",IF(Table1[[#This Row],[unit_price]]&gt;100,"Medium","Low"))</f>
        <v>Low</v>
      </c>
    </row>
    <row r="294" spans="1:11" x14ac:dyDescent="0.45">
      <c r="A294">
        <v>3293</v>
      </c>
      <c r="B294" t="s">
        <v>161</v>
      </c>
      <c r="C294" t="s">
        <v>27</v>
      </c>
      <c r="D294" t="s">
        <v>11</v>
      </c>
      <c r="E294" t="s">
        <v>12</v>
      </c>
      <c r="F294">
        <v>3</v>
      </c>
      <c r="G294">
        <v>381</v>
      </c>
      <c r="H294" t="s">
        <v>25</v>
      </c>
      <c r="I294">
        <f t="shared" si="4"/>
        <v>1143</v>
      </c>
      <c r="J294">
        <f>Table1[[#This Row],[total_revenue]] * 0.25</f>
        <v>285.75</v>
      </c>
      <c r="K294" t="str">
        <f>IF(Table1[[#This Row],[unit_price]]&gt;=500,"High",IF(Table1[[#This Row],[unit_price]]&gt;100,"Medium","Low"))</f>
        <v>Medium</v>
      </c>
    </row>
    <row r="295" spans="1:11" x14ac:dyDescent="0.45">
      <c r="A295">
        <v>3294</v>
      </c>
      <c r="B295" t="s">
        <v>181</v>
      </c>
      <c r="C295" t="s">
        <v>52</v>
      </c>
      <c r="D295" t="s">
        <v>65</v>
      </c>
      <c r="E295" t="s">
        <v>17</v>
      </c>
      <c r="F295">
        <v>4</v>
      </c>
      <c r="G295">
        <v>33</v>
      </c>
      <c r="H295" t="s">
        <v>20</v>
      </c>
      <c r="I295">
        <f t="shared" si="4"/>
        <v>132</v>
      </c>
      <c r="J295">
        <f>Table1[[#This Row],[total_revenue]] * 0.25</f>
        <v>33</v>
      </c>
      <c r="K295" t="str">
        <f>IF(Table1[[#This Row],[unit_price]]&gt;=500,"High",IF(Table1[[#This Row],[unit_price]]&gt;100,"Medium","Low"))</f>
        <v>Low</v>
      </c>
    </row>
    <row r="296" spans="1:11" x14ac:dyDescent="0.45">
      <c r="A296">
        <v>3295</v>
      </c>
      <c r="B296" t="s">
        <v>91</v>
      </c>
      <c r="C296" t="s">
        <v>15</v>
      </c>
      <c r="D296" t="s">
        <v>56</v>
      </c>
      <c r="E296" t="s">
        <v>17</v>
      </c>
      <c r="F296">
        <v>1</v>
      </c>
      <c r="G296">
        <v>880</v>
      </c>
      <c r="H296" t="s">
        <v>13</v>
      </c>
      <c r="I296">
        <f t="shared" si="4"/>
        <v>880</v>
      </c>
      <c r="J296">
        <f>Table1[[#This Row],[total_revenue]] * 0.25</f>
        <v>220</v>
      </c>
      <c r="K296" t="str">
        <f>IF(Table1[[#This Row],[unit_price]]&gt;=500,"High",IF(Table1[[#This Row],[unit_price]]&gt;100,"Medium","Low"))</f>
        <v>High</v>
      </c>
    </row>
    <row r="297" spans="1:11" x14ac:dyDescent="0.45">
      <c r="A297">
        <v>3296</v>
      </c>
      <c r="B297" t="s">
        <v>159</v>
      </c>
      <c r="C297" t="s">
        <v>15</v>
      </c>
      <c r="D297" t="s">
        <v>41</v>
      </c>
      <c r="E297" t="s">
        <v>12</v>
      </c>
      <c r="F297">
        <v>6</v>
      </c>
      <c r="G297">
        <v>302</v>
      </c>
      <c r="H297" t="s">
        <v>20</v>
      </c>
      <c r="I297">
        <f t="shared" si="4"/>
        <v>1812</v>
      </c>
      <c r="J297">
        <f>Table1[[#This Row],[total_revenue]] * 0.25</f>
        <v>453</v>
      </c>
      <c r="K297" t="str">
        <f>IF(Table1[[#This Row],[unit_price]]&gt;=500,"High",IF(Table1[[#This Row],[unit_price]]&gt;100,"Medium","Low"))</f>
        <v>Medium</v>
      </c>
    </row>
    <row r="298" spans="1:11" x14ac:dyDescent="0.45">
      <c r="A298">
        <v>3297</v>
      </c>
      <c r="B298" t="s">
        <v>137</v>
      </c>
      <c r="C298" t="s">
        <v>19</v>
      </c>
      <c r="D298" t="s">
        <v>65</v>
      </c>
      <c r="E298" t="s">
        <v>17</v>
      </c>
      <c r="F298">
        <v>4</v>
      </c>
      <c r="G298">
        <v>63</v>
      </c>
      <c r="H298" t="s">
        <v>20</v>
      </c>
      <c r="I298">
        <f t="shared" si="4"/>
        <v>252</v>
      </c>
      <c r="J298">
        <f>Table1[[#This Row],[total_revenue]] * 0.25</f>
        <v>63</v>
      </c>
      <c r="K298" t="str">
        <f>IF(Table1[[#This Row],[unit_price]]&gt;=500,"High",IF(Table1[[#This Row],[unit_price]]&gt;100,"Medium","Low"))</f>
        <v>Low</v>
      </c>
    </row>
    <row r="299" spans="1:11" x14ac:dyDescent="0.45">
      <c r="A299">
        <v>3298</v>
      </c>
      <c r="B299" t="s">
        <v>133</v>
      </c>
      <c r="C299" t="s">
        <v>35</v>
      </c>
      <c r="D299" t="s">
        <v>41</v>
      </c>
      <c r="E299" t="s">
        <v>12</v>
      </c>
      <c r="F299">
        <v>5</v>
      </c>
      <c r="G299">
        <v>319</v>
      </c>
      <c r="H299" t="s">
        <v>20</v>
      </c>
      <c r="I299">
        <f t="shared" si="4"/>
        <v>1595</v>
      </c>
      <c r="J299">
        <f>Table1[[#This Row],[total_revenue]] * 0.25</f>
        <v>398.75</v>
      </c>
      <c r="K299" t="str">
        <f>IF(Table1[[#This Row],[unit_price]]&gt;=500,"High",IF(Table1[[#This Row],[unit_price]]&gt;100,"Medium","Low"))</f>
        <v>Medium</v>
      </c>
    </row>
    <row r="300" spans="1:11" x14ac:dyDescent="0.45">
      <c r="A300">
        <v>3299</v>
      </c>
      <c r="B300" t="s">
        <v>144</v>
      </c>
      <c r="C300" t="s">
        <v>35</v>
      </c>
      <c r="D300" t="s">
        <v>16</v>
      </c>
      <c r="E300" t="s">
        <v>17</v>
      </c>
      <c r="F300">
        <v>5</v>
      </c>
      <c r="G300">
        <v>435</v>
      </c>
      <c r="H300" t="s">
        <v>20</v>
      </c>
      <c r="I300">
        <f t="shared" si="4"/>
        <v>2175</v>
      </c>
      <c r="J300">
        <f>Table1[[#This Row],[total_revenue]] * 0.25</f>
        <v>543.75</v>
      </c>
      <c r="K300" t="str">
        <f>IF(Table1[[#This Row],[unit_price]]&gt;=500,"High",IF(Table1[[#This Row],[unit_price]]&gt;100,"Medium","Low"))</f>
        <v>Medium</v>
      </c>
    </row>
    <row r="301" spans="1:11" x14ac:dyDescent="0.45">
      <c r="A301">
        <v>3300</v>
      </c>
      <c r="B301" t="s">
        <v>170</v>
      </c>
      <c r="C301" t="s">
        <v>24</v>
      </c>
      <c r="D301" t="s">
        <v>11</v>
      </c>
      <c r="E301" t="s">
        <v>12</v>
      </c>
      <c r="F301">
        <v>6</v>
      </c>
      <c r="G301">
        <v>387</v>
      </c>
      <c r="H301" t="s">
        <v>25</v>
      </c>
      <c r="I301">
        <f t="shared" si="4"/>
        <v>2322</v>
      </c>
      <c r="J301">
        <f>Table1[[#This Row],[total_revenue]] * 0.25</f>
        <v>580.5</v>
      </c>
      <c r="K301" t="str">
        <f>IF(Table1[[#This Row],[unit_price]]&gt;=500,"High",IF(Table1[[#This Row],[unit_price]]&gt;100,"Medium","Low"))</f>
        <v>Medium</v>
      </c>
    </row>
    <row r="302" spans="1:11" x14ac:dyDescent="0.45">
      <c r="A302">
        <v>3301</v>
      </c>
      <c r="B302" t="s">
        <v>182</v>
      </c>
      <c r="C302" t="s">
        <v>61</v>
      </c>
      <c r="D302" t="s">
        <v>28</v>
      </c>
      <c r="E302" t="s">
        <v>17</v>
      </c>
      <c r="F302">
        <v>5</v>
      </c>
      <c r="G302">
        <v>38</v>
      </c>
      <c r="H302" t="s">
        <v>25</v>
      </c>
      <c r="I302">
        <f t="shared" si="4"/>
        <v>190</v>
      </c>
      <c r="J302">
        <f>Table1[[#This Row],[total_revenue]] * 0.25</f>
        <v>47.5</v>
      </c>
      <c r="K302" t="str">
        <f>IF(Table1[[#This Row],[unit_price]]&gt;=500,"High",IF(Table1[[#This Row],[unit_price]]&gt;100,"Medium","Low"))</f>
        <v>Low</v>
      </c>
    </row>
    <row r="303" spans="1:11" x14ac:dyDescent="0.45">
      <c r="A303">
        <v>3302</v>
      </c>
      <c r="B303" t="s">
        <v>133</v>
      </c>
      <c r="C303" t="s">
        <v>43</v>
      </c>
      <c r="D303" t="s">
        <v>16</v>
      </c>
      <c r="E303" t="s">
        <v>17</v>
      </c>
      <c r="F303">
        <v>6</v>
      </c>
      <c r="G303">
        <v>478</v>
      </c>
      <c r="H303" t="s">
        <v>20</v>
      </c>
      <c r="I303">
        <f t="shared" si="4"/>
        <v>2868</v>
      </c>
      <c r="J303">
        <f>Table1[[#This Row],[total_revenue]] * 0.25</f>
        <v>717</v>
      </c>
      <c r="K303" t="str">
        <f>IF(Table1[[#This Row],[unit_price]]&gt;=500,"High",IF(Table1[[#This Row],[unit_price]]&gt;100,"Medium","Low"))</f>
        <v>Medium</v>
      </c>
    </row>
    <row r="304" spans="1:11" x14ac:dyDescent="0.45">
      <c r="A304">
        <v>3303</v>
      </c>
      <c r="B304" t="s">
        <v>183</v>
      </c>
      <c r="C304" t="s">
        <v>30</v>
      </c>
      <c r="D304" t="s">
        <v>11</v>
      </c>
      <c r="E304" t="s">
        <v>12</v>
      </c>
      <c r="F304">
        <v>6</v>
      </c>
      <c r="G304">
        <v>308</v>
      </c>
      <c r="H304" t="s">
        <v>13</v>
      </c>
      <c r="I304">
        <f t="shared" si="4"/>
        <v>1848</v>
      </c>
      <c r="J304">
        <f>Table1[[#This Row],[total_revenue]] * 0.25</f>
        <v>462</v>
      </c>
      <c r="K304" t="str">
        <f>IF(Table1[[#This Row],[unit_price]]&gt;=500,"High",IF(Table1[[#This Row],[unit_price]]&gt;100,"Medium","Low"))</f>
        <v>Medium</v>
      </c>
    </row>
    <row r="305" spans="1:11" x14ac:dyDescent="0.45">
      <c r="A305">
        <v>3304</v>
      </c>
      <c r="B305" t="s">
        <v>184</v>
      </c>
      <c r="C305" t="s">
        <v>52</v>
      </c>
      <c r="D305" t="s">
        <v>16</v>
      </c>
      <c r="E305" t="s">
        <v>17</v>
      </c>
      <c r="F305">
        <v>2</v>
      </c>
      <c r="G305">
        <v>497</v>
      </c>
      <c r="H305" t="s">
        <v>20</v>
      </c>
      <c r="I305">
        <f t="shared" si="4"/>
        <v>994</v>
      </c>
      <c r="J305">
        <f>Table1[[#This Row],[total_revenue]] * 0.25</f>
        <v>248.5</v>
      </c>
      <c r="K305" t="str">
        <f>IF(Table1[[#This Row],[unit_price]]&gt;=500,"High",IF(Table1[[#This Row],[unit_price]]&gt;100,"Medium","Low"))</f>
        <v>Medium</v>
      </c>
    </row>
    <row r="306" spans="1:11" x14ac:dyDescent="0.45">
      <c r="A306">
        <v>3305</v>
      </c>
      <c r="B306" t="s">
        <v>153</v>
      </c>
      <c r="C306" t="s">
        <v>27</v>
      </c>
      <c r="D306" t="s">
        <v>28</v>
      </c>
      <c r="E306" t="s">
        <v>17</v>
      </c>
      <c r="F306">
        <v>4</v>
      </c>
      <c r="G306">
        <v>-19</v>
      </c>
      <c r="H306" t="s">
        <v>20</v>
      </c>
      <c r="I306">
        <f t="shared" si="4"/>
        <v>-76</v>
      </c>
      <c r="J306">
        <f>Table1[[#This Row],[total_revenue]] * 0.25</f>
        <v>-19</v>
      </c>
      <c r="K306" t="str">
        <f>IF(Table1[[#This Row],[unit_price]]&gt;=500,"High",IF(Table1[[#This Row],[unit_price]]&gt;100,"Medium","Low"))</f>
        <v>Low</v>
      </c>
    </row>
    <row r="307" spans="1:11" x14ac:dyDescent="0.45">
      <c r="A307">
        <v>3306</v>
      </c>
      <c r="B307" t="s">
        <v>177</v>
      </c>
      <c r="C307" t="s">
        <v>15</v>
      </c>
      <c r="D307" t="s">
        <v>28</v>
      </c>
      <c r="E307" t="s">
        <v>17</v>
      </c>
      <c r="F307">
        <v>2</v>
      </c>
      <c r="G307">
        <v>-5</v>
      </c>
      <c r="H307" t="s">
        <v>13</v>
      </c>
      <c r="I307">
        <f t="shared" si="4"/>
        <v>-10</v>
      </c>
      <c r="J307">
        <f>Table1[[#This Row],[total_revenue]] * 0.25</f>
        <v>-2.5</v>
      </c>
      <c r="K307" t="str">
        <f>IF(Table1[[#This Row],[unit_price]]&gt;=500,"High",IF(Table1[[#This Row],[unit_price]]&gt;100,"Medium","Low"))</f>
        <v>Low</v>
      </c>
    </row>
    <row r="308" spans="1:11" x14ac:dyDescent="0.45">
      <c r="A308">
        <v>3307</v>
      </c>
      <c r="B308" t="s">
        <v>133</v>
      </c>
      <c r="C308" t="s">
        <v>59</v>
      </c>
      <c r="D308" t="s">
        <v>28</v>
      </c>
      <c r="E308" t="s">
        <v>17</v>
      </c>
      <c r="F308">
        <v>2</v>
      </c>
      <c r="G308">
        <v>-7</v>
      </c>
      <c r="H308" t="s">
        <v>13</v>
      </c>
      <c r="I308">
        <f t="shared" si="4"/>
        <v>-14</v>
      </c>
      <c r="J308">
        <f>Table1[[#This Row],[total_revenue]] * 0.25</f>
        <v>-3.5</v>
      </c>
      <c r="K308" t="str">
        <f>IF(Table1[[#This Row],[unit_price]]&gt;=500,"High",IF(Table1[[#This Row],[unit_price]]&gt;100,"Medium","Low"))</f>
        <v>Low</v>
      </c>
    </row>
    <row r="309" spans="1:11" x14ac:dyDescent="0.45">
      <c r="A309">
        <v>3308</v>
      </c>
      <c r="B309" t="s">
        <v>112</v>
      </c>
      <c r="C309" t="s">
        <v>43</v>
      </c>
      <c r="D309" t="s">
        <v>41</v>
      </c>
      <c r="E309" t="s">
        <v>12</v>
      </c>
      <c r="F309">
        <v>1</v>
      </c>
      <c r="G309">
        <v>337</v>
      </c>
      <c r="H309" t="s">
        <v>13</v>
      </c>
      <c r="I309">
        <f t="shared" si="4"/>
        <v>337</v>
      </c>
      <c r="J309">
        <f>Table1[[#This Row],[total_revenue]] * 0.25</f>
        <v>84.25</v>
      </c>
      <c r="K309" t="str">
        <f>IF(Table1[[#This Row],[unit_price]]&gt;=500,"High",IF(Table1[[#This Row],[unit_price]]&gt;100,"Medium","Low"))</f>
        <v>Medium</v>
      </c>
    </row>
    <row r="310" spans="1:11" x14ac:dyDescent="0.45">
      <c r="A310">
        <v>3309</v>
      </c>
      <c r="B310" t="s">
        <v>165</v>
      </c>
      <c r="C310" t="s">
        <v>61</v>
      </c>
      <c r="D310" t="s">
        <v>56</v>
      </c>
      <c r="E310" t="s">
        <v>17</v>
      </c>
      <c r="F310">
        <v>3</v>
      </c>
      <c r="G310">
        <v>918</v>
      </c>
      <c r="H310" t="s">
        <v>13</v>
      </c>
      <c r="I310">
        <f t="shared" si="4"/>
        <v>2754</v>
      </c>
      <c r="J310">
        <f>Table1[[#This Row],[total_revenue]] * 0.25</f>
        <v>688.5</v>
      </c>
      <c r="K310" t="str">
        <f>IF(Table1[[#This Row],[unit_price]]&gt;=500,"High",IF(Table1[[#This Row],[unit_price]]&gt;100,"Medium","Low"))</f>
        <v>High</v>
      </c>
    </row>
    <row r="311" spans="1:11" x14ac:dyDescent="0.45">
      <c r="A311">
        <v>3310</v>
      </c>
      <c r="B311" t="s">
        <v>183</v>
      </c>
      <c r="C311" t="s">
        <v>59</v>
      </c>
      <c r="D311" t="s">
        <v>56</v>
      </c>
      <c r="E311" t="s">
        <v>17</v>
      </c>
      <c r="F311">
        <v>6</v>
      </c>
      <c r="G311">
        <v>945</v>
      </c>
      <c r="H311" t="s">
        <v>13</v>
      </c>
      <c r="I311">
        <f t="shared" si="4"/>
        <v>5670</v>
      </c>
      <c r="J311">
        <f>Table1[[#This Row],[total_revenue]] * 0.25</f>
        <v>1417.5</v>
      </c>
      <c r="K311" t="str">
        <f>IF(Table1[[#This Row],[unit_price]]&gt;=500,"High",IF(Table1[[#This Row],[unit_price]]&gt;100,"Medium","Low"))</f>
        <v>High</v>
      </c>
    </row>
    <row r="312" spans="1:11" x14ac:dyDescent="0.45">
      <c r="A312">
        <v>3311</v>
      </c>
      <c r="B312" t="s">
        <v>115</v>
      </c>
      <c r="C312" t="s">
        <v>10</v>
      </c>
      <c r="D312" t="s">
        <v>22</v>
      </c>
      <c r="E312" t="s">
        <v>17</v>
      </c>
      <c r="F312">
        <v>3</v>
      </c>
      <c r="G312">
        <v>-11</v>
      </c>
      <c r="H312" t="s">
        <v>25</v>
      </c>
      <c r="I312">
        <f t="shared" si="4"/>
        <v>-33</v>
      </c>
      <c r="J312">
        <f>Table1[[#This Row],[total_revenue]] * 0.25</f>
        <v>-8.25</v>
      </c>
      <c r="K312" t="str">
        <f>IF(Table1[[#This Row],[unit_price]]&gt;=500,"High",IF(Table1[[#This Row],[unit_price]]&gt;100,"Medium","Low"))</f>
        <v>Low</v>
      </c>
    </row>
    <row r="313" spans="1:11" x14ac:dyDescent="0.45">
      <c r="A313">
        <v>3312</v>
      </c>
      <c r="B313" t="s">
        <v>179</v>
      </c>
      <c r="C313" t="s">
        <v>32</v>
      </c>
      <c r="D313" t="s">
        <v>16</v>
      </c>
      <c r="E313" t="s">
        <v>17</v>
      </c>
      <c r="F313">
        <v>3</v>
      </c>
      <c r="G313">
        <v>463</v>
      </c>
      <c r="H313" t="s">
        <v>25</v>
      </c>
      <c r="I313">
        <f t="shared" si="4"/>
        <v>1389</v>
      </c>
      <c r="J313">
        <f>Table1[[#This Row],[total_revenue]] * 0.25</f>
        <v>347.25</v>
      </c>
      <c r="K313" t="str">
        <f>IF(Table1[[#This Row],[unit_price]]&gt;=500,"High",IF(Table1[[#This Row],[unit_price]]&gt;100,"Medium","Low"))</f>
        <v>Medium</v>
      </c>
    </row>
    <row r="314" spans="1:11" x14ac:dyDescent="0.45">
      <c r="A314">
        <v>3313</v>
      </c>
      <c r="B314" t="s">
        <v>131</v>
      </c>
      <c r="C314" t="s">
        <v>43</v>
      </c>
      <c r="D314" t="s">
        <v>38</v>
      </c>
      <c r="E314" t="s">
        <v>17</v>
      </c>
      <c r="F314">
        <v>3</v>
      </c>
      <c r="G314">
        <v>162</v>
      </c>
      <c r="H314" t="s">
        <v>20</v>
      </c>
      <c r="I314">
        <f t="shared" si="4"/>
        <v>486</v>
      </c>
      <c r="J314">
        <f>Table1[[#This Row],[total_revenue]] * 0.25</f>
        <v>121.5</v>
      </c>
      <c r="K314" t="str">
        <f>IF(Table1[[#This Row],[unit_price]]&gt;=500,"High",IF(Table1[[#This Row],[unit_price]]&gt;100,"Medium","Low"))</f>
        <v>Medium</v>
      </c>
    </row>
    <row r="315" spans="1:11" x14ac:dyDescent="0.45">
      <c r="A315">
        <v>3314</v>
      </c>
      <c r="B315" t="s">
        <v>185</v>
      </c>
      <c r="C315" t="s">
        <v>43</v>
      </c>
      <c r="D315" t="s">
        <v>65</v>
      </c>
      <c r="E315" t="s">
        <v>17</v>
      </c>
      <c r="F315">
        <v>5</v>
      </c>
      <c r="G315">
        <v>71</v>
      </c>
      <c r="H315" t="s">
        <v>13</v>
      </c>
      <c r="I315">
        <f t="shared" si="4"/>
        <v>355</v>
      </c>
      <c r="J315">
        <f>Table1[[#This Row],[total_revenue]] * 0.25</f>
        <v>88.75</v>
      </c>
      <c r="K315" t="str">
        <f>IF(Table1[[#This Row],[unit_price]]&gt;=500,"High",IF(Table1[[#This Row],[unit_price]]&gt;100,"Medium","Low"))</f>
        <v>Low</v>
      </c>
    </row>
    <row r="316" spans="1:11" x14ac:dyDescent="0.45">
      <c r="A316">
        <v>3315</v>
      </c>
      <c r="B316" t="s">
        <v>174</v>
      </c>
      <c r="C316" t="s">
        <v>43</v>
      </c>
      <c r="D316" t="s">
        <v>36</v>
      </c>
      <c r="E316" t="s">
        <v>12</v>
      </c>
      <c r="F316">
        <v>3</v>
      </c>
      <c r="G316">
        <v>135</v>
      </c>
      <c r="H316" t="s">
        <v>25</v>
      </c>
      <c r="I316">
        <f t="shared" si="4"/>
        <v>405</v>
      </c>
      <c r="J316">
        <f>Table1[[#This Row],[total_revenue]] * 0.25</f>
        <v>101.25</v>
      </c>
      <c r="K316" t="str">
        <f>IF(Table1[[#This Row],[unit_price]]&gt;=500,"High",IF(Table1[[#This Row],[unit_price]]&gt;100,"Medium","Low"))</f>
        <v>Medium</v>
      </c>
    </row>
    <row r="317" spans="1:11" x14ac:dyDescent="0.45">
      <c r="A317">
        <v>3316</v>
      </c>
      <c r="B317" t="s">
        <v>74</v>
      </c>
      <c r="C317" t="s">
        <v>27</v>
      </c>
      <c r="D317" t="s">
        <v>38</v>
      </c>
      <c r="E317" t="s">
        <v>17</v>
      </c>
      <c r="F317">
        <v>4</v>
      </c>
      <c r="G317">
        <v>217</v>
      </c>
      <c r="H317" t="s">
        <v>13</v>
      </c>
      <c r="I317">
        <f t="shared" si="4"/>
        <v>868</v>
      </c>
      <c r="J317">
        <f>Table1[[#This Row],[total_revenue]] * 0.25</f>
        <v>217</v>
      </c>
      <c r="K317" t="str">
        <f>IF(Table1[[#This Row],[unit_price]]&gt;=500,"High",IF(Table1[[#This Row],[unit_price]]&gt;100,"Medium","Low"))</f>
        <v>Medium</v>
      </c>
    </row>
    <row r="318" spans="1:11" x14ac:dyDescent="0.45">
      <c r="A318">
        <v>3317</v>
      </c>
      <c r="B318" t="s">
        <v>143</v>
      </c>
      <c r="C318" t="s">
        <v>59</v>
      </c>
      <c r="D318" t="s">
        <v>38</v>
      </c>
      <c r="E318" t="s">
        <v>17</v>
      </c>
      <c r="F318">
        <v>1</v>
      </c>
      <c r="G318">
        <v>161</v>
      </c>
      <c r="H318" t="s">
        <v>13</v>
      </c>
      <c r="I318">
        <f t="shared" si="4"/>
        <v>161</v>
      </c>
      <c r="J318">
        <f>Table1[[#This Row],[total_revenue]] * 0.25</f>
        <v>40.25</v>
      </c>
      <c r="K318" t="str">
        <f>IF(Table1[[#This Row],[unit_price]]&gt;=500,"High",IF(Table1[[#This Row],[unit_price]]&gt;100,"Medium","Low"))</f>
        <v>Medium</v>
      </c>
    </row>
    <row r="319" spans="1:11" x14ac:dyDescent="0.45">
      <c r="A319">
        <v>3318</v>
      </c>
      <c r="B319" t="s">
        <v>45</v>
      </c>
      <c r="C319" t="s">
        <v>61</v>
      </c>
      <c r="D319" t="s">
        <v>11</v>
      </c>
      <c r="E319" t="s">
        <v>12</v>
      </c>
      <c r="F319">
        <v>1</v>
      </c>
      <c r="G319">
        <v>330</v>
      </c>
      <c r="H319" t="s">
        <v>13</v>
      </c>
      <c r="I319">
        <f t="shared" si="4"/>
        <v>330</v>
      </c>
      <c r="J319">
        <f>Table1[[#This Row],[total_revenue]] * 0.25</f>
        <v>82.5</v>
      </c>
      <c r="K319" t="str">
        <f>IF(Table1[[#This Row],[unit_price]]&gt;=500,"High",IF(Table1[[#This Row],[unit_price]]&gt;100,"Medium","Low"))</f>
        <v>Medium</v>
      </c>
    </row>
    <row r="320" spans="1:11" x14ac:dyDescent="0.45">
      <c r="A320">
        <v>3319</v>
      </c>
      <c r="B320" t="s">
        <v>143</v>
      </c>
      <c r="C320" t="s">
        <v>19</v>
      </c>
      <c r="D320" t="s">
        <v>11</v>
      </c>
      <c r="E320" t="s">
        <v>12</v>
      </c>
      <c r="F320">
        <v>3</v>
      </c>
      <c r="G320">
        <v>347</v>
      </c>
      <c r="H320" t="s">
        <v>20</v>
      </c>
      <c r="I320">
        <f t="shared" si="4"/>
        <v>1041</v>
      </c>
      <c r="J320">
        <f>Table1[[#This Row],[total_revenue]] * 0.25</f>
        <v>260.25</v>
      </c>
      <c r="K320" t="str">
        <f>IF(Table1[[#This Row],[unit_price]]&gt;=500,"High",IF(Table1[[#This Row],[unit_price]]&gt;100,"Medium","Low"))</f>
        <v>Medium</v>
      </c>
    </row>
    <row r="321" spans="1:11" x14ac:dyDescent="0.45">
      <c r="A321">
        <v>3320</v>
      </c>
      <c r="B321" t="s">
        <v>100</v>
      </c>
      <c r="C321" t="s">
        <v>32</v>
      </c>
      <c r="D321" t="s">
        <v>16</v>
      </c>
      <c r="E321" t="s">
        <v>17</v>
      </c>
      <c r="F321">
        <v>6</v>
      </c>
      <c r="G321">
        <v>471</v>
      </c>
      <c r="H321" t="s">
        <v>20</v>
      </c>
      <c r="I321">
        <f t="shared" si="4"/>
        <v>2826</v>
      </c>
      <c r="J321">
        <f>Table1[[#This Row],[total_revenue]] * 0.25</f>
        <v>706.5</v>
      </c>
      <c r="K321" t="str">
        <f>IF(Table1[[#This Row],[unit_price]]&gt;=500,"High",IF(Table1[[#This Row],[unit_price]]&gt;100,"Medium","Low"))</f>
        <v>Medium</v>
      </c>
    </row>
    <row r="322" spans="1:11" x14ac:dyDescent="0.45">
      <c r="A322">
        <v>3321</v>
      </c>
      <c r="B322" t="s">
        <v>80</v>
      </c>
      <c r="C322" t="s">
        <v>24</v>
      </c>
      <c r="D322" t="s">
        <v>22</v>
      </c>
      <c r="E322" t="s">
        <v>17</v>
      </c>
      <c r="F322">
        <v>3</v>
      </c>
      <c r="G322">
        <v>50</v>
      </c>
      <c r="H322" t="s">
        <v>13</v>
      </c>
      <c r="I322">
        <f t="shared" ref="I322:I385" si="5">F322*G322</f>
        <v>150</v>
      </c>
      <c r="J322">
        <f>Table1[[#This Row],[total_revenue]] * 0.25</f>
        <v>37.5</v>
      </c>
      <c r="K322" t="str">
        <f>IF(Table1[[#This Row],[unit_price]]&gt;=500,"High",IF(Table1[[#This Row],[unit_price]]&gt;100,"Medium","Low"))</f>
        <v>Low</v>
      </c>
    </row>
    <row r="323" spans="1:11" x14ac:dyDescent="0.45">
      <c r="A323">
        <v>3322</v>
      </c>
      <c r="B323" t="s">
        <v>115</v>
      </c>
      <c r="C323" t="s">
        <v>24</v>
      </c>
      <c r="D323" t="s">
        <v>36</v>
      </c>
      <c r="E323" t="s">
        <v>12</v>
      </c>
      <c r="F323">
        <v>3</v>
      </c>
      <c r="G323">
        <v>136</v>
      </c>
      <c r="H323" t="s">
        <v>13</v>
      </c>
      <c r="I323">
        <f t="shared" si="5"/>
        <v>408</v>
      </c>
      <c r="J323">
        <f>Table1[[#This Row],[total_revenue]] * 0.25</f>
        <v>102</v>
      </c>
      <c r="K323" t="str">
        <f>IF(Table1[[#This Row],[unit_price]]&gt;=500,"High",IF(Table1[[#This Row],[unit_price]]&gt;100,"Medium","Low"))</f>
        <v>Medium</v>
      </c>
    </row>
    <row r="324" spans="1:11" x14ac:dyDescent="0.45">
      <c r="A324">
        <v>3323</v>
      </c>
      <c r="B324" t="s">
        <v>93</v>
      </c>
      <c r="C324" t="s">
        <v>19</v>
      </c>
      <c r="D324" t="s">
        <v>22</v>
      </c>
      <c r="E324" t="s">
        <v>17</v>
      </c>
      <c r="F324">
        <v>3</v>
      </c>
      <c r="G324">
        <v>62</v>
      </c>
      <c r="H324" t="s">
        <v>25</v>
      </c>
      <c r="I324">
        <f t="shared" si="5"/>
        <v>186</v>
      </c>
      <c r="J324">
        <f>Table1[[#This Row],[total_revenue]] * 0.25</f>
        <v>46.5</v>
      </c>
      <c r="K324" t="str">
        <f>IF(Table1[[#This Row],[unit_price]]&gt;=500,"High",IF(Table1[[#This Row],[unit_price]]&gt;100,"Medium","Low"))</f>
        <v>Low</v>
      </c>
    </row>
    <row r="325" spans="1:11" x14ac:dyDescent="0.45">
      <c r="A325">
        <v>3324</v>
      </c>
      <c r="B325" t="s">
        <v>186</v>
      </c>
      <c r="C325" t="s">
        <v>15</v>
      </c>
      <c r="D325" t="s">
        <v>41</v>
      </c>
      <c r="E325" t="s">
        <v>12</v>
      </c>
      <c r="F325">
        <v>1</v>
      </c>
      <c r="G325">
        <v>332</v>
      </c>
      <c r="H325" t="s">
        <v>25</v>
      </c>
      <c r="I325">
        <f t="shared" si="5"/>
        <v>332</v>
      </c>
      <c r="J325">
        <f>Table1[[#This Row],[total_revenue]] * 0.25</f>
        <v>83</v>
      </c>
      <c r="K325" t="str">
        <f>IF(Table1[[#This Row],[unit_price]]&gt;=500,"High",IF(Table1[[#This Row],[unit_price]]&gt;100,"Medium","Low"))</f>
        <v>Medium</v>
      </c>
    </row>
    <row r="326" spans="1:11" x14ac:dyDescent="0.45">
      <c r="A326">
        <v>3325</v>
      </c>
      <c r="B326" t="s">
        <v>169</v>
      </c>
      <c r="C326" t="s">
        <v>59</v>
      </c>
      <c r="D326" t="s">
        <v>56</v>
      </c>
      <c r="E326" t="s">
        <v>17</v>
      </c>
      <c r="F326">
        <v>3</v>
      </c>
      <c r="G326">
        <v>923</v>
      </c>
      <c r="H326" t="s">
        <v>25</v>
      </c>
      <c r="I326">
        <f t="shared" si="5"/>
        <v>2769</v>
      </c>
      <c r="J326">
        <f>Table1[[#This Row],[total_revenue]] * 0.25</f>
        <v>692.25</v>
      </c>
      <c r="K326" t="str">
        <f>IF(Table1[[#This Row],[unit_price]]&gt;=500,"High",IF(Table1[[#This Row],[unit_price]]&gt;100,"Medium","Low"))</f>
        <v>High</v>
      </c>
    </row>
    <row r="327" spans="1:11" x14ac:dyDescent="0.45">
      <c r="A327">
        <v>3326</v>
      </c>
      <c r="B327" t="s">
        <v>156</v>
      </c>
      <c r="C327" t="s">
        <v>19</v>
      </c>
      <c r="D327" t="s">
        <v>36</v>
      </c>
      <c r="E327" t="s">
        <v>12</v>
      </c>
      <c r="F327">
        <v>4</v>
      </c>
      <c r="G327">
        <v>139</v>
      </c>
      <c r="H327" t="s">
        <v>25</v>
      </c>
      <c r="I327">
        <f t="shared" si="5"/>
        <v>556</v>
      </c>
      <c r="J327">
        <f>Table1[[#This Row],[total_revenue]] * 0.25</f>
        <v>139</v>
      </c>
      <c r="K327" t="str">
        <f>IF(Table1[[#This Row],[unit_price]]&gt;=500,"High",IF(Table1[[#This Row],[unit_price]]&gt;100,"Medium","Low"))</f>
        <v>Medium</v>
      </c>
    </row>
    <row r="328" spans="1:11" x14ac:dyDescent="0.45">
      <c r="A328">
        <v>3327</v>
      </c>
      <c r="B328" t="s">
        <v>96</v>
      </c>
      <c r="C328" t="s">
        <v>24</v>
      </c>
      <c r="D328" t="s">
        <v>22</v>
      </c>
      <c r="E328" t="s">
        <v>17</v>
      </c>
      <c r="F328">
        <v>2</v>
      </c>
      <c r="G328">
        <v>78</v>
      </c>
      <c r="H328" t="s">
        <v>20</v>
      </c>
      <c r="I328">
        <f t="shared" si="5"/>
        <v>156</v>
      </c>
      <c r="J328">
        <f>Table1[[#This Row],[total_revenue]] * 0.25</f>
        <v>39</v>
      </c>
      <c r="K328" t="str">
        <f>IF(Table1[[#This Row],[unit_price]]&gt;=500,"High",IF(Table1[[#This Row],[unit_price]]&gt;100,"Medium","Low"))</f>
        <v>Low</v>
      </c>
    </row>
    <row r="329" spans="1:11" x14ac:dyDescent="0.45">
      <c r="A329">
        <v>3328</v>
      </c>
      <c r="B329" t="s">
        <v>70</v>
      </c>
      <c r="C329" t="s">
        <v>30</v>
      </c>
      <c r="D329" t="s">
        <v>38</v>
      </c>
      <c r="E329" t="s">
        <v>17</v>
      </c>
      <c r="F329">
        <v>6</v>
      </c>
      <c r="G329">
        <v>225</v>
      </c>
      <c r="H329" t="s">
        <v>13</v>
      </c>
      <c r="I329">
        <f t="shared" si="5"/>
        <v>1350</v>
      </c>
      <c r="J329">
        <f>Table1[[#This Row],[total_revenue]] * 0.25</f>
        <v>337.5</v>
      </c>
      <c r="K329" t="str">
        <f>IF(Table1[[#This Row],[unit_price]]&gt;=500,"High",IF(Table1[[#This Row],[unit_price]]&gt;100,"Medium","Low"))</f>
        <v>Medium</v>
      </c>
    </row>
    <row r="330" spans="1:11" x14ac:dyDescent="0.45">
      <c r="A330">
        <v>3329</v>
      </c>
      <c r="B330" t="s">
        <v>82</v>
      </c>
      <c r="C330" t="s">
        <v>32</v>
      </c>
      <c r="D330" t="s">
        <v>22</v>
      </c>
      <c r="E330" t="s">
        <v>17</v>
      </c>
      <c r="F330">
        <v>4</v>
      </c>
      <c r="G330">
        <v>71</v>
      </c>
      <c r="H330" t="s">
        <v>13</v>
      </c>
      <c r="I330">
        <f t="shared" si="5"/>
        <v>284</v>
      </c>
      <c r="J330">
        <f>Table1[[#This Row],[total_revenue]] * 0.25</f>
        <v>71</v>
      </c>
      <c r="K330" t="str">
        <f>IF(Table1[[#This Row],[unit_price]]&gt;=500,"High",IF(Table1[[#This Row],[unit_price]]&gt;100,"Medium","Low"))</f>
        <v>Low</v>
      </c>
    </row>
    <row r="331" spans="1:11" x14ac:dyDescent="0.45">
      <c r="A331">
        <v>3330</v>
      </c>
      <c r="B331" t="s">
        <v>57</v>
      </c>
      <c r="C331" t="s">
        <v>32</v>
      </c>
      <c r="D331" t="s">
        <v>22</v>
      </c>
      <c r="E331" t="s">
        <v>17</v>
      </c>
      <c r="F331">
        <v>3</v>
      </c>
      <c r="G331">
        <v>82</v>
      </c>
      <c r="H331" t="s">
        <v>20</v>
      </c>
      <c r="I331">
        <f t="shared" si="5"/>
        <v>246</v>
      </c>
      <c r="J331">
        <f>Table1[[#This Row],[total_revenue]] * 0.25</f>
        <v>61.5</v>
      </c>
      <c r="K331" t="str">
        <f>IF(Table1[[#This Row],[unit_price]]&gt;=500,"High",IF(Table1[[#This Row],[unit_price]]&gt;100,"Medium","Low"))</f>
        <v>Low</v>
      </c>
    </row>
    <row r="332" spans="1:11" x14ac:dyDescent="0.45">
      <c r="A332">
        <v>3331</v>
      </c>
      <c r="B332" t="s">
        <v>136</v>
      </c>
      <c r="C332" t="s">
        <v>32</v>
      </c>
      <c r="D332" t="s">
        <v>65</v>
      </c>
      <c r="E332" t="s">
        <v>17</v>
      </c>
      <c r="F332">
        <v>6</v>
      </c>
      <c r="G332">
        <v>77</v>
      </c>
      <c r="H332" t="s">
        <v>13</v>
      </c>
      <c r="I332">
        <f t="shared" si="5"/>
        <v>462</v>
      </c>
      <c r="J332">
        <f>Table1[[#This Row],[total_revenue]] * 0.25</f>
        <v>115.5</v>
      </c>
      <c r="K332" t="str">
        <f>IF(Table1[[#This Row],[unit_price]]&gt;=500,"High",IF(Table1[[#This Row],[unit_price]]&gt;100,"Medium","Low"))</f>
        <v>Low</v>
      </c>
    </row>
    <row r="333" spans="1:11" x14ac:dyDescent="0.45">
      <c r="A333">
        <v>3332</v>
      </c>
      <c r="B333" t="s">
        <v>80</v>
      </c>
      <c r="C333" t="s">
        <v>15</v>
      </c>
      <c r="D333" t="s">
        <v>36</v>
      </c>
      <c r="E333" t="s">
        <v>12</v>
      </c>
      <c r="F333">
        <v>2</v>
      </c>
      <c r="G333">
        <v>78</v>
      </c>
      <c r="H333" t="s">
        <v>13</v>
      </c>
      <c r="I333">
        <f t="shared" si="5"/>
        <v>156</v>
      </c>
      <c r="J333">
        <f>Table1[[#This Row],[total_revenue]] * 0.25</f>
        <v>39</v>
      </c>
      <c r="K333" t="str">
        <f>IF(Table1[[#This Row],[unit_price]]&gt;=500,"High",IF(Table1[[#This Row],[unit_price]]&gt;100,"Medium","Low"))</f>
        <v>Low</v>
      </c>
    </row>
    <row r="334" spans="1:11" x14ac:dyDescent="0.45">
      <c r="A334">
        <v>3333</v>
      </c>
      <c r="B334" t="s">
        <v>187</v>
      </c>
      <c r="C334" t="s">
        <v>43</v>
      </c>
      <c r="D334" t="s">
        <v>36</v>
      </c>
      <c r="E334" t="s">
        <v>12</v>
      </c>
      <c r="F334">
        <v>2</v>
      </c>
      <c r="G334">
        <v>103</v>
      </c>
      <c r="H334" t="s">
        <v>20</v>
      </c>
      <c r="I334">
        <f t="shared" si="5"/>
        <v>206</v>
      </c>
      <c r="J334">
        <f>Table1[[#This Row],[total_revenue]] * 0.25</f>
        <v>51.5</v>
      </c>
      <c r="K334" t="str">
        <f>IF(Table1[[#This Row],[unit_price]]&gt;=500,"High",IF(Table1[[#This Row],[unit_price]]&gt;100,"Medium","Low"))</f>
        <v>Medium</v>
      </c>
    </row>
    <row r="335" spans="1:11" x14ac:dyDescent="0.45">
      <c r="A335">
        <v>3334</v>
      </c>
      <c r="B335" t="s">
        <v>179</v>
      </c>
      <c r="C335" t="s">
        <v>19</v>
      </c>
      <c r="D335" t="s">
        <v>41</v>
      </c>
      <c r="E335" t="s">
        <v>12</v>
      </c>
      <c r="F335">
        <v>3</v>
      </c>
      <c r="G335">
        <v>255</v>
      </c>
      <c r="H335" t="s">
        <v>20</v>
      </c>
      <c r="I335">
        <f t="shared" si="5"/>
        <v>765</v>
      </c>
      <c r="J335">
        <f>Table1[[#This Row],[total_revenue]] * 0.25</f>
        <v>191.25</v>
      </c>
      <c r="K335" t="str">
        <f>IF(Table1[[#This Row],[unit_price]]&gt;=500,"High",IF(Table1[[#This Row],[unit_price]]&gt;100,"Medium","Low"))</f>
        <v>Medium</v>
      </c>
    </row>
    <row r="336" spans="1:11" x14ac:dyDescent="0.45">
      <c r="A336">
        <v>3335</v>
      </c>
      <c r="B336" t="s">
        <v>138</v>
      </c>
      <c r="C336" t="s">
        <v>15</v>
      </c>
      <c r="D336" t="s">
        <v>16</v>
      </c>
      <c r="E336" t="s">
        <v>17</v>
      </c>
      <c r="F336">
        <v>6</v>
      </c>
      <c r="G336">
        <v>446</v>
      </c>
      <c r="H336" t="s">
        <v>25</v>
      </c>
      <c r="I336">
        <f t="shared" si="5"/>
        <v>2676</v>
      </c>
      <c r="J336">
        <f>Table1[[#This Row],[total_revenue]] * 0.25</f>
        <v>669</v>
      </c>
      <c r="K336" t="str">
        <f>IF(Table1[[#This Row],[unit_price]]&gt;=500,"High",IF(Table1[[#This Row],[unit_price]]&gt;100,"Medium","Low"))</f>
        <v>Medium</v>
      </c>
    </row>
    <row r="337" spans="1:11" x14ac:dyDescent="0.45">
      <c r="A337">
        <v>3336</v>
      </c>
      <c r="B337" t="s">
        <v>42</v>
      </c>
      <c r="C337" t="s">
        <v>27</v>
      </c>
      <c r="D337" t="s">
        <v>11</v>
      </c>
      <c r="E337" t="s">
        <v>12</v>
      </c>
      <c r="F337">
        <v>5</v>
      </c>
      <c r="G337">
        <v>369</v>
      </c>
      <c r="H337" t="s">
        <v>13</v>
      </c>
      <c r="I337">
        <f t="shared" si="5"/>
        <v>1845</v>
      </c>
      <c r="J337">
        <f>Table1[[#This Row],[total_revenue]] * 0.25</f>
        <v>461.25</v>
      </c>
      <c r="K337" t="str">
        <f>IF(Table1[[#This Row],[unit_price]]&gt;=500,"High",IF(Table1[[#This Row],[unit_price]]&gt;100,"Medium","Low"))</f>
        <v>Medium</v>
      </c>
    </row>
    <row r="338" spans="1:11" x14ac:dyDescent="0.45">
      <c r="A338">
        <v>3337</v>
      </c>
      <c r="B338" t="s">
        <v>62</v>
      </c>
      <c r="C338" t="s">
        <v>59</v>
      </c>
      <c r="D338" t="s">
        <v>11</v>
      </c>
      <c r="E338" t="s">
        <v>12</v>
      </c>
      <c r="F338">
        <v>6</v>
      </c>
      <c r="G338">
        <v>351</v>
      </c>
      <c r="H338" t="s">
        <v>20</v>
      </c>
      <c r="I338">
        <f t="shared" si="5"/>
        <v>2106</v>
      </c>
      <c r="J338">
        <f>Table1[[#This Row],[total_revenue]] * 0.25</f>
        <v>526.5</v>
      </c>
      <c r="K338" t="str">
        <f>IF(Table1[[#This Row],[unit_price]]&gt;=500,"High",IF(Table1[[#This Row],[unit_price]]&gt;100,"Medium","Low"))</f>
        <v>Medium</v>
      </c>
    </row>
    <row r="339" spans="1:11" x14ac:dyDescent="0.45">
      <c r="A339">
        <v>3338</v>
      </c>
      <c r="B339" t="s">
        <v>26</v>
      </c>
      <c r="C339" t="s">
        <v>10</v>
      </c>
      <c r="D339" t="s">
        <v>56</v>
      </c>
      <c r="E339" t="s">
        <v>17</v>
      </c>
      <c r="F339">
        <v>4</v>
      </c>
      <c r="G339">
        <v>872</v>
      </c>
      <c r="H339" t="s">
        <v>13</v>
      </c>
      <c r="I339">
        <f t="shared" si="5"/>
        <v>3488</v>
      </c>
      <c r="J339">
        <f>Table1[[#This Row],[total_revenue]] * 0.25</f>
        <v>872</v>
      </c>
      <c r="K339" t="str">
        <f>IF(Table1[[#This Row],[unit_price]]&gt;=500,"High",IF(Table1[[#This Row],[unit_price]]&gt;100,"Medium","Low"))</f>
        <v>High</v>
      </c>
    </row>
    <row r="340" spans="1:11" x14ac:dyDescent="0.45">
      <c r="A340">
        <v>3339</v>
      </c>
      <c r="B340" t="s">
        <v>49</v>
      </c>
      <c r="C340" t="s">
        <v>27</v>
      </c>
      <c r="D340" t="s">
        <v>41</v>
      </c>
      <c r="E340" t="s">
        <v>12</v>
      </c>
      <c r="F340">
        <v>5</v>
      </c>
      <c r="G340">
        <v>268</v>
      </c>
      <c r="H340" t="s">
        <v>20</v>
      </c>
      <c r="I340">
        <f t="shared" si="5"/>
        <v>1340</v>
      </c>
      <c r="J340">
        <f>Table1[[#This Row],[total_revenue]] * 0.25</f>
        <v>335</v>
      </c>
      <c r="K340" t="str">
        <f>IF(Table1[[#This Row],[unit_price]]&gt;=500,"High",IF(Table1[[#This Row],[unit_price]]&gt;100,"Medium","Low"))</f>
        <v>Medium</v>
      </c>
    </row>
    <row r="341" spans="1:11" x14ac:dyDescent="0.45">
      <c r="A341">
        <v>3340</v>
      </c>
      <c r="B341" t="s">
        <v>124</v>
      </c>
      <c r="C341" t="s">
        <v>61</v>
      </c>
      <c r="D341" t="s">
        <v>41</v>
      </c>
      <c r="E341" t="s">
        <v>12</v>
      </c>
      <c r="F341">
        <v>2</v>
      </c>
      <c r="G341">
        <v>288</v>
      </c>
      <c r="H341" t="s">
        <v>25</v>
      </c>
      <c r="I341">
        <f t="shared" si="5"/>
        <v>576</v>
      </c>
      <c r="J341">
        <f>Table1[[#This Row],[total_revenue]] * 0.25</f>
        <v>144</v>
      </c>
      <c r="K341" t="str">
        <f>IF(Table1[[#This Row],[unit_price]]&gt;=500,"High",IF(Table1[[#This Row],[unit_price]]&gt;100,"Medium","Low"))</f>
        <v>Medium</v>
      </c>
    </row>
    <row r="342" spans="1:11" x14ac:dyDescent="0.45">
      <c r="A342">
        <v>3341</v>
      </c>
      <c r="B342" t="s">
        <v>26</v>
      </c>
      <c r="C342" t="s">
        <v>52</v>
      </c>
      <c r="D342" t="s">
        <v>41</v>
      </c>
      <c r="E342" t="s">
        <v>12</v>
      </c>
      <c r="F342">
        <v>2</v>
      </c>
      <c r="G342">
        <v>333</v>
      </c>
      <c r="H342" t="s">
        <v>25</v>
      </c>
      <c r="I342">
        <f t="shared" si="5"/>
        <v>666</v>
      </c>
      <c r="J342">
        <f>Table1[[#This Row],[total_revenue]] * 0.25</f>
        <v>166.5</v>
      </c>
      <c r="K342" t="str">
        <f>IF(Table1[[#This Row],[unit_price]]&gt;=500,"High",IF(Table1[[#This Row],[unit_price]]&gt;100,"Medium","Low"))</f>
        <v>Medium</v>
      </c>
    </row>
    <row r="343" spans="1:11" x14ac:dyDescent="0.45">
      <c r="A343">
        <v>3342</v>
      </c>
      <c r="B343" t="s">
        <v>136</v>
      </c>
      <c r="C343" t="s">
        <v>32</v>
      </c>
      <c r="D343" t="s">
        <v>36</v>
      </c>
      <c r="E343" t="s">
        <v>12</v>
      </c>
      <c r="F343">
        <v>4</v>
      </c>
      <c r="G343">
        <v>139</v>
      </c>
      <c r="H343" t="s">
        <v>20</v>
      </c>
      <c r="I343">
        <f t="shared" si="5"/>
        <v>556</v>
      </c>
      <c r="J343">
        <f>Table1[[#This Row],[total_revenue]] * 0.25</f>
        <v>139</v>
      </c>
      <c r="K343" t="str">
        <f>IF(Table1[[#This Row],[unit_price]]&gt;=500,"High",IF(Table1[[#This Row],[unit_price]]&gt;100,"Medium","Low"))</f>
        <v>Medium</v>
      </c>
    </row>
    <row r="344" spans="1:11" x14ac:dyDescent="0.45">
      <c r="A344">
        <v>3343</v>
      </c>
      <c r="B344" t="s">
        <v>188</v>
      </c>
      <c r="C344" t="s">
        <v>59</v>
      </c>
      <c r="D344" t="s">
        <v>41</v>
      </c>
      <c r="E344" t="s">
        <v>12</v>
      </c>
      <c r="F344">
        <v>6</v>
      </c>
      <c r="G344">
        <v>335</v>
      </c>
      <c r="H344" t="s">
        <v>25</v>
      </c>
      <c r="I344">
        <f t="shared" si="5"/>
        <v>2010</v>
      </c>
      <c r="J344">
        <f>Table1[[#This Row],[total_revenue]] * 0.25</f>
        <v>502.5</v>
      </c>
      <c r="K344" t="str">
        <f>IF(Table1[[#This Row],[unit_price]]&gt;=500,"High",IF(Table1[[#This Row],[unit_price]]&gt;100,"Medium","Low"))</f>
        <v>Medium</v>
      </c>
    </row>
    <row r="345" spans="1:11" x14ac:dyDescent="0.45">
      <c r="A345">
        <v>3344</v>
      </c>
      <c r="B345" t="s">
        <v>164</v>
      </c>
      <c r="C345" t="s">
        <v>30</v>
      </c>
      <c r="D345" t="s">
        <v>38</v>
      </c>
      <c r="E345" t="s">
        <v>17</v>
      </c>
      <c r="F345">
        <v>4</v>
      </c>
      <c r="G345">
        <v>224</v>
      </c>
      <c r="H345" t="s">
        <v>20</v>
      </c>
      <c r="I345">
        <f t="shared" si="5"/>
        <v>896</v>
      </c>
      <c r="J345">
        <f>Table1[[#This Row],[total_revenue]] * 0.25</f>
        <v>224</v>
      </c>
      <c r="K345" t="str">
        <f>IF(Table1[[#This Row],[unit_price]]&gt;=500,"High",IF(Table1[[#This Row],[unit_price]]&gt;100,"Medium","Low"))</f>
        <v>Medium</v>
      </c>
    </row>
    <row r="346" spans="1:11" x14ac:dyDescent="0.45">
      <c r="A346">
        <v>3345</v>
      </c>
      <c r="B346" t="s">
        <v>93</v>
      </c>
      <c r="C346" t="s">
        <v>15</v>
      </c>
      <c r="D346" t="s">
        <v>11</v>
      </c>
      <c r="E346" t="s">
        <v>12</v>
      </c>
      <c r="F346">
        <v>1</v>
      </c>
      <c r="G346">
        <v>383</v>
      </c>
      <c r="H346" t="s">
        <v>20</v>
      </c>
      <c r="I346">
        <f t="shared" si="5"/>
        <v>383</v>
      </c>
      <c r="J346">
        <f>Table1[[#This Row],[total_revenue]] * 0.25</f>
        <v>95.75</v>
      </c>
      <c r="K346" t="str">
        <f>IF(Table1[[#This Row],[unit_price]]&gt;=500,"High",IF(Table1[[#This Row],[unit_price]]&gt;100,"Medium","Low"))</f>
        <v>Medium</v>
      </c>
    </row>
    <row r="347" spans="1:11" x14ac:dyDescent="0.45">
      <c r="A347">
        <v>3346</v>
      </c>
      <c r="B347" t="s">
        <v>183</v>
      </c>
      <c r="C347" t="s">
        <v>19</v>
      </c>
      <c r="D347" t="s">
        <v>22</v>
      </c>
      <c r="E347" t="s">
        <v>17</v>
      </c>
      <c r="F347">
        <v>2</v>
      </c>
      <c r="G347">
        <v>66</v>
      </c>
      <c r="H347" t="s">
        <v>20</v>
      </c>
      <c r="I347">
        <f t="shared" si="5"/>
        <v>132</v>
      </c>
      <c r="J347">
        <f>Table1[[#This Row],[total_revenue]] * 0.25</f>
        <v>33</v>
      </c>
      <c r="K347" t="str">
        <f>IF(Table1[[#This Row],[unit_price]]&gt;=500,"High",IF(Table1[[#This Row],[unit_price]]&gt;100,"Medium","Low"))</f>
        <v>Low</v>
      </c>
    </row>
    <row r="348" spans="1:11" x14ac:dyDescent="0.45">
      <c r="A348">
        <v>3347</v>
      </c>
      <c r="B348" t="s">
        <v>66</v>
      </c>
      <c r="C348" t="s">
        <v>10</v>
      </c>
      <c r="D348" t="s">
        <v>16</v>
      </c>
      <c r="E348" t="s">
        <v>17</v>
      </c>
      <c r="F348">
        <v>1</v>
      </c>
      <c r="G348">
        <v>498</v>
      </c>
      <c r="H348" t="s">
        <v>25</v>
      </c>
      <c r="I348">
        <f t="shared" si="5"/>
        <v>498</v>
      </c>
      <c r="J348">
        <f>Table1[[#This Row],[total_revenue]] * 0.25</f>
        <v>124.5</v>
      </c>
      <c r="K348" t="str">
        <f>IF(Table1[[#This Row],[unit_price]]&gt;=500,"High",IF(Table1[[#This Row],[unit_price]]&gt;100,"Medium","Low"))</f>
        <v>Medium</v>
      </c>
    </row>
    <row r="349" spans="1:11" x14ac:dyDescent="0.45">
      <c r="A349">
        <v>3348</v>
      </c>
      <c r="B349" t="s">
        <v>103</v>
      </c>
      <c r="C349" t="s">
        <v>10</v>
      </c>
      <c r="D349" t="s">
        <v>65</v>
      </c>
      <c r="E349" t="s">
        <v>17</v>
      </c>
      <c r="F349">
        <v>2</v>
      </c>
      <c r="G349">
        <v>109</v>
      </c>
      <c r="H349" t="s">
        <v>13</v>
      </c>
      <c r="I349">
        <f t="shared" si="5"/>
        <v>218</v>
      </c>
      <c r="J349">
        <f>Table1[[#This Row],[total_revenue]] * 0.25</f>
        <v>54.5</v>
      </c>
      <c r="K349" t="str">
        <f>IF(Table1[[#This Row],[unit_price]]&gt;=500,"High",IF(Table1[[#This Row],[unit_price]]&gt;100,"Medium","Low"))</f>
        <v>Medium</v>
      </c>
    </row>
    <row r="350" spans="1:11" x14ac:dyDescent="0.45">
      <c r="A350">
        <v>3349</v>
      </c>
      <c r="B350" t="s">
        <v>54</v>
      </c>
      <c r="C350" t="s">
        <v>15</v>
      </c>
      <c r="D350" t="s">
        <v>56</v>
      </c>
      <c r="E350" t="s">
        <v>17</v>
      </c>
      <c r="F350">
        <v>2</v>
      </c>
      <c r="G350">
        <v>897</v>
      </c>
      <c r="H350" t="s">
        <v>13</v>
      </c>
      <c r="I350">
        <f t="shared" si="5"/>
        <v>1794</v>
      </c>
      <c r="J350">
        <f>Table1[[#This Row],[total_revenue]] * 0.25</f>
        <v>448.5</v>
      </c>
      <c r="K350" t="str">
        <f>IF(Table1[[#This Row],[unit_price]]&gt;=500,"High",IF(Table1[[#This Row],[unit_price]]&gt;100,"Medium","Low"))</f>
        <v>High</v>
      </c>
    </row>
    <row r="351" spans="1:11" x14ac:dyDescent="0.45">
      <c r="A351">
        <v>3350</v>
      </c>
      <c r="B351" t="s">
        <v>101</v>
      </c>
      <c r="C351" t="s">
        <v>43</v>
      </c>
      <c r="D351" t="s">
        <v>36</v>
      </c>
      <c r="E351" t="s">
        <v>12</v>
      </c>
      <c r="F351">
        <v>5</v>
      </c>
      <c r="G351">
        <v>73</v>
      </c>
      <c r="H351" t="s">
        <v>25</v>
      </c>
      <c r="I351">
        <f t="shared" si="5"/>
        <v>365</v>
      </c>
      <c r="J351">
        <f>Table1[[#This Row],[total_revenue]] * 0.25</f>
        <v>91.25</v>
      </c>
      <c r="K351" t="str">
        <f>IF(Table1[[#This Row],[unit_price]]&gt;=500,"High",IF(Table1[[#This Row],[unit_price]]&gt;100,"Medium","Low"))</f>
        <v>Low</v>
      </c>
    </row>
    <row r="352" spans="1:11" x14ac:dyDescent="0.45">
      <c r="A352">
        <v>3351</v>
      </c>
      <c r="B352" t="s">
        <v>60</v>
      </c>
      <c r="C352" t="s">
        <v>59</v>
      </c>
      <c r="D352" t="s">
        <v>28</v>
      </c>
      <c r="E352" t="s">
        <v>17</v>
      </c>
      <c r="F352">
        <v>1</v>
      </c>
      <c r="G352">
        <v>48</v>
      </c>
      <c r="H352" t="s">
        <v>20</v>
      </c>
      <c r="I352">
        <f t="shared" si="5"/>
        <v>48</v>
      </c>
      <c r="J352">
        <f>Table1[[#This Row],[total_revenue]] * 0.25</f>
        <v>12</v>
      </c>
      <c r="K352" t="str">
        <f>IF(Table1[[#This Row],[unit_price]]&gt;=500,"High",IF(Table1[[#This Row],[unit_price]]&gt;100,"Medium","Low"))</f>
        <v>Low</v>
      </c>
    </row>
    <row r="353" spans="1:11" x14ac:dyDescent="0.45">
      <c r="A353">
        <v>3352</v>
      </c>
      <c r="B353" t="s">
        <v>131</v>
      </c>
      <c r="C353" t="s">
        <v>27</v>
      </c>
      <c r="D353" t="s">
        <v>36</v>
      </c>
      <c r="E353" t="s">
        <v>12</v>
      </c>
      <c r="F353">
        <v>4</v>
      </c>
      <c r="G353">
        <v>62</v>
      </c>
      <c r="H353" t="s">
        <v>13</v>
      </c>
      <c r="I353">
        <f t="shared" si="5"/>
        <v>248</v>
      </c>
      <c r="J353">
        <f>Table1[[#This Row],[total_revenue]] * 0.25</f>
        <v>62</v>
      </c>
      <c r="K353" t="str">
        <f>IF(Table1[[#This Row],[unit_price]]&gt;=500,"High",IF(Table1[[#This Row],[unit_price]]&gt;100,"Medium","Low"))</f>
        <v>Low</v>
      </c>
    </row>
    <row r="354" spans="1:11" x14ac:dyDescent="0.45">
      <c r="A354">
        <v>3353</v>
      </c>
      <c r="B354" t="s">
        <v>47</v>
      </c>
      <c r="C354" t="s">
        <v>35</v>
      </c>
      <c r="D354" t="s">
        <v>22</v>
      </c>
      <c r="E354" t="s">
        <v>17</v>
      </c>
      <c r="F354">
        <v>5</v>
      </c>
      <c r="G354">
        <v>40</v>
      </c>
      <c r="H354" t="s">
        <v>13</v>
      </c>
      <c r="I354">
        <f t="shared" si="5"/>
        <v>200</v>
      </c>
      <c r="J354">
        <f>Table1[[#This Row],[total_revenue]] * 0.25</f>
        <v>50</v>
      </c>
      <c r="K354" t="str">
        <f>IF(Table1[[#This Row],[unit_price]]&gt;=500,"High",IF(Table1[[#This Row],[unit_price]]&gt;100,"Medium","Low"))</f>
        <v>Low</v>
      </c>
    </row>
    <row r="355" spans="1:11" x14ac:dyDescent="0.45">
      <c r="A355">
        <v>3354</v>
      </c>
      <c r="B355" t="s">
        <v>39</v>
      </c>
      <c r="C355" t="s">
        <v>52</v>
      </c>
      <c r="D355" t="s">
        <v>28</v>
      </c>
      <c r="E355" t="s">
        <v>17</v>
      </c>
      <c r="F355">
        <v>2</v>
      </c>
      <c r="G355">
        <v>7</v>
      </c>
      <c r="H355" t="s">
        <v>20</v>
      </c>
      <c r="I355">
        <f t="shared" si="5"/>
        <v>14</v>
      </c>
      <c r="J355">
        <f>Table1[[#This Row],[total_revenue]] * 0.25</f>
        <v>3.5</v>
      </c>
      <c r="K355" t="str">
        <f>IF(Table1[[#This Row],[unit_price]]&gt;=500,"High",IF(Table1[[#This Row],[unit_price]]&gt;100,"Medium","Low"))</f>
        <v>Low</v>
      </c>
    </row>
    <row r="356" spans="1:11" x14ac:dyDescent="0.45">
      <c r="A356">
        <v>3355</v>
      </c>
      <c r="B356" t="s">
        <v>42</v>
      </c>
      <c r="C356" t="s">
        <v>10</v>
      </c>
      <c r="D356" t="s">
        <v>11</v>
      </c>
      <c r="E356" t="s">
        <v>12</v>
      </c>
      <c r="F356">
        <v>6</v>
      </c>
      <c r="G356">
        <v>309</v>
      </c>
      <c r="H356" t="s">
        <v>13</v>
      </c>
      <c r="I356">
        <f t="shared" si="5"/>
        <v>1854</v>
      </c>
      <c r="J356">
        <f>Table1[[#This Row],[total_revenue]] * 0.25</f>
        <v>463.5</v>
      </c>
      <c r="K356" t="str">
        <f>IF(Table1[[#This Row],[unit_price]]&gt;=500,"High",IF(Table1[[#This Row],[unit_price]]&gt;100,"Medium","Low"))</f>
        <v>Medium</v>
      </c>
    </row>
    <row r="357" spans="1:11" x14ac:dyDescent="0.45">
      <c r="A357">
        <v>3356</v>
      </c>
      <c r="B357" t="s">
        <v>149</v>
      </c>
      <c r="C357" t="s">
        <v>52</v>
      </c>
      <c r="D357" t="s">
        <v>11</v>
      </c>
      <c r="E357" t="s">
        <v>12</v>
      </c>
      <c r="F357">
        <v>6</v>
      </c>
      <c r="G357">
        <v>371</v>
      </c>
      <c r="H357" t="s">
        <v>25</v>
      </c>
      <c r="I357">
        <f t="shared" si="5"/>
        <v>2226</v>
      </c>
      <c r="J357">
        <f>Table1[[#This Row],[total_revenue]] * 0.25</f>
        <v>556.5</v>
      </c>
      <c r="K357" t="str">
        <f>IF(Table1[[#This Row],[unit_price]]&gt;=500,"High",IF(Table1[[#This Row],[unit_price]]&gt;100,"Medium","Low"))</f>
        <v>Medium</v>
      </c>
    </row>
    <row r="358" spans="1:11" x14ac:dyDescent="0.45">
      <c r="A358">
        <v>3357</v>
      </c>
      <c r="B358" t="s">
        <v>115</v>
      </c>
      <c r="C358" t="s">
        <v>10</v>
      </c>
      <c r="D358" t="s">
        <v>41</v>
      </c>
      <c r="E358" t="s">
        <v>12</v>
      </c>
      <c r="F358">
        <v>5</v>
      </c>
      <c r="G358">
        <v>329</v>
      </c>
      <c r="H358" t="s">
        <v>20</v>
      </c>
      <c r="I358">
        <f t="shared" si="5"/>
        <v>1645</v>
      </c>
      <c r="J358">
        <f>Table1[[#This Row],[total_revenue]] * 0.25</f>
        <v>411.25</v>
      </c>
      <c r="K358" t="str">
        <f>IF(Table1[[#This Row],[unit_price]]&gt;=500,"High",IF(Table1[[#This Row],[unit_price]]&gt;100,"Medium","Low"))</f>
        <v>Medium</v>
      </c>
    </row>
    <row r="359" spans="1:11" x14ac:dyDescent="0.45">
      <c r="A359">
        <v>3358</v>
      </c>
      <c r="B359" t="s">
        <v>47</v>
      </c>
      <c r="C359" t="s">
        <v>15</v>
      </c>
      <c r="D359" t="s">
        <v>41</v>
      </c>
      <c r="E359" t="s">
        <v>12</v>
      </c>
      <c r="F359">
        <v>3</v>
      </c>
      <c r="G359">
        <v>260</v>
      </c>
      <c r="H359" t="s">
        <v>13</v>
      </c>
      <c r="I359">
        <f t="shared" si="5"/>
        <v>780</v>
      </c>
      <c r="J359">
        <f>Table1[[#This Row],[total_revenue]] * 0.25</f>
        <v>195</v>
      </c>
      <c r="K359" t="str">
        <f>IF(Table1[[#This Row],[unit_price]]&gt;=500,"High",IF(Table1[[#This Row],[unit_price]]&gt;100,"Medium","Low"))</f>
        <v>Medium</v>
      </c>
    </row>
    <row r="360" spans="1:11" x14ac:dyDescent="0.45">
      <c r="A360">
        <v>3359</v>
      </c>
      <c r="B360" t="s">
        <v>164</v>
      </c>
      <c r="C360" t="s">
        <v>32</v>
      </c>
      <c r="D360" t="s">
        <v>65</v>
      </c>
      <c r="E360" t="s">
        <v>17</v>
      </c>
      <c r="F360">
        <v>2</v>
      </c>
      <c r="G360">
        <v>78</v>
      </c>
      <c r="H360" t="s">
        <v>13</v>
      </c>
      <c r="I360">
        <f t="shared" si="5"/>
        <v>156</v>
      </c>
      <c r="J360">
        <f>Table1[[#This Row],[total_revenue]] * 0.25</f>
        <v>39</v>
      </c>
      <c r="K360" t="str">
        <f>IF(Table1[[#This Row],[unit_price]]&gt;=500,"High",IF(Table1[[#This Row],[unit_price]]&gt;100,"Medium","Low"))</f>
        <v>Low</v>
      </c>
    </row>
    <row r="361" spans="1:11" x14ac:dyDescent="0.45">
      <c r="A361">
        <v>3360</v>
      </c>
      <c r="B361" t="s">
        <v>125</v>
      </c>
      <c r="C361" t="s">
        <v>32</v>
      </c>
      <c r="D361" t="s">
        <v>65</v>
      </c>
      <c r="E361" t="s">
        <v>17</v>
      </c>
      <c r="F361">
        <v>4</v>
      </c>
      <c r="G361">
        <v>66</v>
      </c>
      <c r="H361" t="s">
        <v>25</v>
      </c>
      <c r="I361">
        <f t="shared" si="5"/>
        <v>264</v>
      </c>
      <c r="J361">
        <f>Table1[[#This Row],[total_revenue]] * 0.25</f>
        <v>66</v>
      </c>
      <c r="K361" t="str">
        <f>IF(Table1[[#This Row],[unit_price]]&gt;=500,"High",IF(Table1[[#This Row],[unit_price]]&gt;100,"Medium","Low"))</f>
        <v>Low</v>
      </c>
    </row>
    <row r="362" spans="1:11" x14ac:dyDescent="0.45">
      <c r="A362">
        <v>3361</v>
      </c>
      <c r="B362" t="s">
        <v>171</v>
      </c>
      <c r="C362" t="s">
        <v>27</v>
      </c>
      <c r="D362" t="s">
        <v>28</v>
      </c>
      <c r="E362" t="s">
        <v>17</v>
      </c>
      <c r="F362">
        <v>2</v>
      </c>
      <c r="G362">
        <v>40</v>
      </c>
      <c r="H362" t="s">
        <v>25</v>
      </c>
      <c r="I362">
        <f t="shared" si="5"/>
        <v>80</v>
      </c>
      <c r="J362">
        <f>Table1[[#This Row],[total_revenue]] * 0.25</f>
        <v>20</v>
      </c>
      <c r="K362" t="str">
        <f>IF(Table1[[#This Row],[unit_price]]&gt;=500,"High",IF(Table1[[#This Row],[unit_price]]&gt;100,"Medium","Low"))</f>
        <v>Low</v>
      </c>
    </row>
    <row r="363" spans="1:11" x14ac:dyDescent="0.45">
      <c r="A363">
        <v>3362</v>
      </c>
      <c r="B363" t="s">
        <v>186</v>
      </c>
      <c r="C363" t="s">
        <v>15</v>
      </c>
      <c r="D363" t="s">
        <v>38</v>
      </c>
      <c r="E363" t="s">
        <v>17</v>
      </c>
      <c r="F363">
        <v>5</v>
      </c>
      <c r="G363">
        <v>229</v>
      </c>
      <c r="H363" t="s">
        <v>13</v>
      </c>
      <c r="I363">
        <f t="shared" si="5"/>
        <v>1145</v>
      </c>
      <c r="J363">
        <f>Table1[[#This Row],[total_revenue]] * 0.25</f>
        <v>286.25</v>
      </c>
      <c r="K363" t="str">
        <f>IF(Table1[[#This Row],[unit_price]]&gt;=500,"High",IF(Table1[[#This Row],[unit_price]]&gt;100,"Medium","Low"))</f>
        <v>Medium</v>
      </c>
    </row>
    <row r="364" spans="1:11" x14ac:dyDescent="0.45">
      <c r="A364">
        <v>3363</v>
      </c>
      <c r="B364" t="s">
        <v>74</v>
      </c>
      <c r="C364" t="s">
        <v>43</v>
      </c>
      <c r="D364" t="s">
        <v>36</v>
      </c>
      <c r="E364" t="s">
        <v>12</v>
      </c>
      <c r="F364">
        <v>3</v>
      </c>
      <c r="G364">
        <v>146</v>
      </c>
      <c r="H364" t="s">
        <v>13</v>
      </c>
      <c r="I364">
        <f t="shared" si="5"/>
        <v>438</v>
      </c>
      <c r="J364">
        <f>Table1[[#This Row],[total_revenue]] * 0.25</f>
        <v>109.5</v>
      </c>
      <c r="K364" t="str">
        <f>IF(Table1[[#This Row],[unit_price]]&gt;=500,"High",IF(Table1[[#This Row],[unit_price]]&gt;100,"Medium","Low"))</f>
        <v>Medium</v>
      </c>
    </row>
    <row r="365" spans="1:11" x14ac:dyDescent="0.45">
      <c r="A365">
        <v>3364</v>
      </c>
      <c r="B365" t="s">
        <v>73</v>
      </c>
      <c r="C365" t="s">
        <v>19</v>
      </c>
      <c r="D365" t="s">
        <v>38</v>
      </c>
      <c r="E365" t="s">
        <v>17</v>
      </c>
      <c r="F365">
        <v>6</v>
      </c>
      <c r="G365">
        <v>246</v>
      </c>
      <c r="H365" t="s">
        <v>25</v>
      </c>
      <c r="I365">
        <f t="shared" si="5"/>
        <v>1476</v>
      </c>
      <c r="J365">
        <f>Table1[[#This Row],[total_revenue]] * 0.25</f>
        <v>369</v>
      </c>
      <c r="K365" t="str">
        <f>IF(Table1[[#This Row],[unit_price]]&gt;=500,"High",IF(Table1[[#This Row],[unit_price]]&gt;100,"Medium","Low"))</f>
        <v>Medium</v>
      </c>
    </row>
    <row r="366" spans="1:11" x14ac:dyDescent="0.45">
      <c r="A366">
        <v>3365</v>
      </c>
      <c r="B366" t="s">
        <v>189</v>
      </c>
      <c r="C366" t="s">
        <v>59</v>
      </c>
      <c r="D366" t="s">
        <v>36</v>
      </c>
      <c r="E366" t="s">
        <v>12</v>
      </c>
      <c r="F366">
        <v>2</v>
      </c>
      <c r="G366">
        <v>103</v>
      </c>
      <c r="H366" t="s">
        <v>20</v>
      </c>
      <c r="I366">
        <f t="shared" si="5"/>
        <v>206</v>
      </c>
      <c r="J366">
        <f>Table1[[#This Row],[total_revenue]] * 0.25</f>
        <v>51.5</v>
      </c>
      <c r="K366" t="str">
        <f>IF(Table1[[#This Row],[unit_price]]&gt;=500,"High",IF(Table1[[#This Row],[unit_price]]&gt;100,"Medium","Low"))</f>
        <v>Medium</v>
      </c>
    </row>
    <row r="367" spans="1:11" x14ac:dyDescent="0.45">
      <c r="A367">
        <v>3366</v>
      </c>
      <c r="B367" t="s">
        <v>152</v>
      </c>
      <c r="C367" t="s">
        <v>43</v>
      </c>
      <c r="D367" t="s">
        <v>56</v>
      </c>
      <c r="E367" t="s">
        <v>17</v>
      </c>
      <c r="F367">
        <v>5</v>
      </c>
      <c r="G367">
        <v>933</v>
      </c>
      <c r="H367" t="s">
        <v>13</v>
      </c>
      <c r="I367">
        <f t="shared" si="5"/>
        <v>4665</v>
      </c>
      <c r="J367">
        <f>Table1[[#This Row],[total_revenue]] * 0.25</f>
        <v>1166.25</v>
      </c>
      <c r="K367" t="str">
        <f>IF(Table1[[#This Row],[unit_price]]&gt;=500,"High",IF(Table1[[#This Row],[unit_price]]&gt;100,"Medium","Low"))</f>
        <v>High</v>
      </c>
    </row>
    <row r="368" spans="1:11" x14ac:dyDescent="0.45">
      <c r="A368">
        <v>3367</v>
      </c>
      <c r="B368" t="s">
        <v>190</v>
      </c>
      <c r="C368" t="s">
        <v>43</v>
      </c>
      <c r="D368" t="s">
        <v>65</v>
      </c>
      <c r="E368" t="s">
        <v>17</v>
      </c>
      <c r="F368">
        <v>2</v>
      </c>
      <c r="G368">
        <v>120</v>
      </c>
      <c r="H368" t="s">
        <v>25</v>
      </c>
      <c r="I368">
        <f t="shared" si="5"/>
        <v>240</v>
      </c>
      <c r="J368">
        <f>Table1[[#This Row],[total_revenue]] * 0.25</f>
        <v>60</v>
      </c>
      <c r="K368" t="str">
        <f>IF(Table1[[#This Row],[unit_price]]&gt;=500,"High",IF(Table1[[#This Row],[unit_price]]&gt;100,"Medium","Low"))</f>
        <v>Medium</v>
      </c>
    </row>
    <row r="369" spans="1:11" x14ac:dyDescent="0.45">
      <c r="A369">
        <v>3368</v>
      </c>
      <c r="B369" t="s">
        <v>33</v>
      </c>
      <c r="C369" t="s">
        <v>35</v>
      </c>
      <c r="D369" t="s">
        <v>41</v>
      </c>
      <c r="E369" t="s">
        <v>12</v>
      </c>
      <c r="F369">
        <v>3</v>
      </c>
      <c r="G369">
        <v>287</v>
      </c>
      <c r="H369" t="s">
        <v>25</v>
      </c>
      <c r="I369">
        <f t="shared" si="5"/>
        <v>861</v>
      </c>
      <c r="J369">
        <f>Table1[[#This Row],[total_revenue]] * 0.25</f>
        <v>215.25</v>
      </c>
      <c r="K369" t="str">
        <f>IF(Table1[[#This Row],[unit_price]]&gt;=500,"High",IF(Table1[[#This Row],[unit_price]]&gt;100,"Medium","Low"))</f>
        <v>Medium</v>
      </c>
    </row>
    <row r="370" spans="1:11" x14ac:dyDescent="0.45">
      <c r="A370">
        <v>3369</v>
      </c>
      <c r="B370" t="s">
        <v>127</v>
      </c>
      <c r="C370" t="s">
        <v>10</v>
      </c>
      <c r="D370" t="s">
        <v>28</v>
      </c>
      <c r="E370" t="s">
        <v>17</v>
      </c>
      <c r="F370">
        <v>3</v>
      </c>
      <c r="G370">
        <v>60</v>
      </c>
      <c r="H370" t="s">
        <v>25</v>
      </c>
      <c r="I370">
        <f t="shared" si="5"/>
        <v>180</v>
      </c>
      <c r="J370">
        <f>Table1[[#This Row],[total_revenue]] * 0.25</f>
        <v>45</v>
      </c>
      <c r="K370" t="str">
        <f>IF(Table1[[#This Row],[unit_price]]&gt;=500,"High",IF(Table1[[#This Row],[unit_price]]&gt;100,"Medium","Low"))</f>
        <v>Low</v>
      </c>
    </row>
    <row r="371" spans="1:11" x14ac:dyDescent="0.45">
      <c r="A371">
        <v>3370</v>
      </c>
      <c r="B371" t="s">
        <v>122</v>
      </c>
      <c r="C371" t="s">
        <v>61</v>
      </c>
      <c r="D371" t="s">
        <v>16</v>
      </c>
      <c r="E371" t="s">
        <v>17</v>
      </c>
      <c r="F371">
        <v>3</v>
      </c>
      <c r="G371">
        <v>456</v>
      </c>
      <c r="H371" t="s">
        <v>25</v>
      </c>
      <c r="I371">
        <f t="shared" si="5"/>
        <v>1368</v>
      </c>
      <c r="J371">
        <f>Table1[[#This Row],[total_revenue]] * 0.25</f>
        <v>342</v>
      </c>
      <c r="K371" t="str">
        <f>IF(Table1[[#This Row],[unit_price]]&gt;=500,"High",IF(Table1[[#This Row],[unit_price]]&gt;100,"Medium","Low"))</f>
        <v>Medium</v>
      </c>
    </row>
    <row r="372" spans="1:11" x14ac:dyDescent="0.45">
      <c r="A372">
        <v>3371</v>
      </c>
      <c r="B372" t="s">
        <v>110</v>
      </c>
      <c r="C372" t="s">
        <v>61</v>
      </c>
      <c r="D372" t="s">
        <v>28</v>
      </c>
      <c r="E372" t="s">
        <v>17</v>
      </c>
      <c r="F372">
        <v>3</v>
      </c>
      <c r="G372">
        <v>-25</v>
      </c>
      <c r="H372" t="s">
        <v>25</v>
      </c>
      <c r="I372">
        <f t="shared" si="5"/>
        <v>-75</v>
      </c>
      <c r="J372">
        <f>Table1[[#This Row],[total_revenue]] * 0.25</f>
        <v>-18.75</v>
      </c>
      <c r="K372" t="str">
        <f>IF(Table1[[#This Row],[unit_price]]&gt;=500,"High",IF(Table1[[#This Row],[unit_price]]&gt;100,"Medium","Low"))</f>
        <v>Low</v>
      </c>
    </row>
    <row r="373" spans="1:11" x14ac:dyDescent="0.45">
      <c r="A373">
        <v>3372</v>
      </c>
      <c r="B373" t="s">
        <v>191</v>
      </c>
      <c r="C373" t="s">
        <v>35</v>
      </c>
      <c r="D373" t="s">
        <v>65</v>
      </c>
      <c r="E373" t="s">
        <v>17</v>
      </c>
      <c r="F373">
        <v>3</v>
      </c>
      <c r="G373">
        <v>36</v>
      </c>
      <c r="H373" t="s">
        <v>20</v>
      </c>
      <c r="I373">
        <f t="shared" si="5"/>
        <v>108</v>
      </c>
      <c r="J373">
        <f>Table1[[#This Row],[total_revenue]] * 0.25</f>
        <v>27</v>
      </c>
      <c r="K373" t="str">
        <f>IF(Table1[[#This Row],[unit_price]]&gt;=500,"High",IF(Table1[[#This Row],[unit_price]]&gt;100,"Medium","Low"))</f>
        <v>Low</v>
      </c>
    </row>
    <row r="374" spans="1:11" x14ac:dyDescent="0.45">
      <c r="A374">
        <v>3373</v>
      </c>
      <c r="B374" t="s">
        <v>187</v>
      </c>
      <c r="C374" t="s">
        <v>35</v>
      </c>
      <c r="D374" t="s">
        <v>28</v>
      </c>
      <c r="E374" t="s">
        <v>17</v>
      </c>
      <c r="F374">
        <v>3</v>
      </c>
      <c r="G374">
        <v>7</v>
      </c>
      <c r="H374" t="s">
        <v>20</v>
      </c>
      <c r="I374">
        <f t="shared" si="5"/>
        <v>21</v>
      </c>
      <c r="J374">
        <f>Table1[[#This Row],[total_revenue]] * 0.25</f>
        <v>5.25</v>
      </c>
      <c r="K374" t="str">
        <f>IF(Table1[[#This Row],[unit_price]]&gt;=500,"High",IF(Table1[[#This Row],[unit_price]]&gt;100,"Medium","Low"))</f>
        <v>Low</v>
      </c>
    </row>
    <row r="375" spans="1:11" x14ac:dyDescent="0.45">
      <c r="A375">
        <v>3374</v>
      </c>
      <c r="B375" t="s">
        <v>126</v>
      </c>
      <c r="C375" t="s">
        <v>30</v>
      </c>
      <c r="D375" t="s">
        <v>65</v>
      </c>
      <c r="E375" t="s">
        <v>17</v>
      </c>
      <c r="F375">
        <v>4</v>
      </c>
      <c r="G375">
        <v>123</v>
      </c>
      <c r="H375" t="s">
        <v>25</v>
      </c>
      <c r="I375">
        <f t="shared" si="5"/>
        <v>492</v>
      </c>
      <c r="J375">
        <f>Table1[[#This Row],[total_revenue]] * 0.25</f>
        <v>123</v>
      </c>
      <c r="K375" t="str">
        <f>IF(Table1[[#This Row],[unit_price]]&gt;=500,"High",IF(Table1[[#This Row],[unit_price]]&gt;100,"Medium","Low"))</f>
        <v>Medium</v>
      </c>
    </row>
    <row r="376" spans="1:11" x14ac:dyDescent="0.45">
      <c r="A376">
        <v>3375</v>
      </c>
      <c r="B376" t="s">
        <v>176</v>
      </c>
      <c r="C376" t="s">
        <v>35</v>
      </c>
      <c r="D376" t="s">
        <v>41</v>
      </c>
      <c r="E376" t="s">
        <v>12</v>
      </c>
      <c r="F376">
        <v>1</v>
      </c>
      <c r="G376">
        <v>319</v>
      </c>
      <c r="H376" t="s">
        <v>20</v>
      </c>
      <c r="I376">
        <f t="shared" si="5"/>
        <v>319</v>
      </c>
      <c r="J376">
        <f>Table1[[#This Row],[total_revenue]] * 0.25</f>
        <v>79.75</v>
      </c>
      <c r="K376" t="str">
        <f>IF(Table1[[#This Row],[unit_price]]&gt;=500,"High",IF(Table1[[#This Row],[unit_price]]&gt;100,"Medium","Low"))</f>
        <v>Medium</v>
      </c>
    </row>
    <row r="377" spans="1:11" x14ac:dyDescent="0.45">
      <c r="A377">
        <v>3376</v>
      </c>
      <c r="B377" t="s">
        <v>125</v>
      </c>
      <c r="C377" t="s">
        <v>61</v>
      </c>
      <c r="D377" t="s">
        <v>11</v>
      </c>
      <c r="E377" t="s">
        <v>12</v>
      </c>
      <c r="F377">
        <v>4</v>
      </c>
      <c r="G377">
        <v>379</v>
      </c>
      <c r="H377" t="s">
        <v>25</v>
      </c>
      <c r="I377">
        <f t="shared" si="5"/>
        <v>1516</v>
      </c>
      <c r="J377">
        <f>Table1[[#This Row],[total_revenue]] * 0.25</f>
        <v>379</v>
      </c>
      <c r="K377" t="str">
        <f>IF(Table1[[#This Row],[unit_price]]&gt;=500,"High",IF(Table1[[#This Row],[unit_price]]&gt;100,"Medium","Low"))</f>
        <v>Medium</v>
      </c>
    </row>
    <row r="378" spans="1:11" x14ac:dyDescent="0.45">
      <c r="A378">
        <v>3377</v>
      </c>
      <c r="B378" t="s">
        <v>142</v>
      </c>
      <c r="C378" t="s">
        <v>19</v>
      </c>
      <c r="D378" t="s">
        <v>16</v>
      </c>
      <c r="E378" t="s">
        <v>17</v>
      </c>
      <c r="F378">
        <v>4</v>
      </c>
      <c r="G378">
        <v>466</v>
      </c>
      <c r="H378" t="s">
        <v>13</v>
      </c>
      <c r="I378">
        <f t="shared" si="5"/>
        <v>1864</v>
      </c>
      <c r="J378">
        <f>Table1[[#This Row],[total_revenue]] * 0.25</f>
        <v>466</v>
      </c>
      <c r="K378" t="str">
        <f>IF(Table1[[#This Row],[unit_price]]&gt;=500,"High",IF(Table1[[#This Row],[unit_price]]&gt;100,"Medium","Low"))</f>
        <v>Medium</v>
      </c>
    </row>
    <row r="379" spans="1:11" x14ac:dyDescent="0.45">
      <c r="A379">
        <v>3378</v>
      </c>
      <c r="B379" t="s">
        <v>88</v>
      </c>
      <c r="C379" t="s">
        <v>24</v>
      </c>
      <c r="D379" t="s">
        <v>65</v>
      </c>
      <c r="E379" t="s">
        <v>17</v>
      </c>
      <c r="F379">
        <v>5</v>
      </c>
      <c r="G379">
        <v>114</v>
      </c>
      <c r="H379" t="s">
        <v>13</v>
      </c>
      <c r="I379">
        <f t="shared" si="5"/>
        <v>570</v>
      </c>
      <c r="J379">
        <f>Table1[[#This Row],[total_revenue]] * 0.25</f>
        <v>142.5</v>
      </c>
      <c r="K379" t="str">
        <f>IF(Table1[[#This Row],[unit_price]]&gt;=500,"High",IF(Table1[[#This Row],[unit_price]]&gt;100,"Medium","Low"))</f>
        <v>Medium</v>
      </c>
    </row>
    <row r="380" spans="1:11" x14ac:dyDescent="0.45">
      <c r="A380">
        <v>3379</v>
      </c>
      <c r="B380" t="s">
        <v>144</v>
      </c>
      <c r="C380" t="s">
        <v>24</v>
      </c>
      <c r="D380" t="s">
        <v>28</v>
      </c>
      <c r="E380" t="s">
        <v>17</v>
      </c>
      <c r="F380">
        <v>3</v>
      </c>
      <c r="G380">
        <v>50</v>
      </c>
      <c r="H380" t="s">
        <v>13</v>
      </c>
      <c r="I380">
        <f t="shared" si="5"/>
        <v>150</v>
      </c>
      <c r="J380">
        <f>Table1[[#This Row],[total_revenue]] * 0.25</f>
        <v>37.5</v>
      </c>
      <c r="K380" t="str">
        <f>IF(Table1[[#This Row],[unit_price]]&gt;=500,"High",IF(Table1[[#This Row],[unit_price]]&gt;100,"Medium","Low"))</f>
        <v>Low</v>
      </c>
    </row>
    <row r="381" spans="1:11" x14ac:dyDescent="0.45">
      <c r="A381">
        <v>3380</v>
      </c>
      <c r="B381" t="s">
        <v>53</v>
      </c>
      <c r="C381" t="s">
        <v>27</v>
      </c>
      <c r="D381" t="s">
        <v>11</v>
      </c>
      <c r="E381" t="s">
        <v>12</v>
      </c>
      <c r="F381">
        <v>6</v>
      </c>
      <c r="G381">
        <v>383</v>
      </c>
      <c r="H381" t="s">
        <v>13</v>
      </c>
      <c r="I381">
        <f t="shared" si="5"/>
        <v>2298</v>
      </c>
      <c r="J381">
        <f>Table1[[#This Row],[total_revenue]] * 0.25</f>
        <v>574.5</v>
      </c>
      <c r="K381" t="str">
        <f>IF(Table1[[#This Row],[unit_price]]&gt;=500,"High",IF(Table1[[#This Row],[unit_price]]&gt;100,"Medium","Low"))</f>
        <v>Medium</v>
      </c>
    </row>
    <row r="382" spans="1:11" x14ac:dyDescent="0.45">
      <c r="A382">
        <v>3381</v>
      </c>
      <c r="B382" t="s">
        <v>182</v>
      </c>
      <c r="C382" t="s">
        <v>32</v>
      </c>
      <c r="D382" t="s">
        <v>11</v>
      </c>
      <c r="E382" t="s">
        <v>12</v>
      </c>
      <c r="F382">
        <v>6</v>
      </c>
      <c r="G382">
        <v>357</v>
      </c>
      <c r="H382" t="s">
        <v>20</v>
      </c>
      <c r="I382">
        <f t="shared" si="5"/>
        <v>2142</v>
      </c>
      <c r="J382">
        <f>Table1[[#This Row],[total_revenue]] * 0.25</f>
        <v>535.5</v>
      </c>
      <c r="K382" t="str">
        <f>IF(Table1[[#This Row],[unit_price]]&gt;=500,"High",IF(Table1[[#This Row],[unit_price]]&gt;100,"Medium","Low"))</f>
        <v>Medium</v>
      </c>
    </row>
    <row r="383" spans="1:11" x14ac:dyDescent="0.45">
      <c r="A383">
        <v>3382</v>
      </c>
      <c r="B383" t="s">
        <v>90</v>
      </c>
      <c r="C383" t="s">
        <v>19</v>
      </c>
      <c r="D383" t="s">
        <v>22</v>
      </c>
      <c r="E383" t="s">
        <v>17</v>
      </c>
      <c r="F383">
        <v>1</v>
      </c>
      <c r="G383">
        <v>68</v>
      </c>
      <c r="H383" t="s">
        <v>25</v>
      </c>
      <c r="I383">
        <f t="shared" si="5"/>
        <v>68</v>
      </c>
      <c r="J383">
        <f>Table1[[#This Row],[total_revenue]] * 0.25</f>
        <v>17</v>
      </c>
      <c r="K383" t="str">
        <f>IF(Table1[[#This Row],[unit_price]]&gt;=500,"High",IF(Table1[[#This Row],[unit_price]]&gt;100,"Medium","Low"))</f>
        <v>Low</v>
      </c>
    </row>
    <row r="384" spans="1:11" x14ac:dyDescent="0.45">
      <c r="A384">
        <v>3383</v>
      </c>
      <c r="B384" t="s">
        <v>67</v>
      </c>
      <c r="C384" t="s">
        <v>59</v>
      </c>
      <c r="D384" t="s">
        <v>11</v>
      </c>
      <c r="E384" t="s">
        <v>12</v>
      </c>
      <c r="F384">
        <v>1</v>
      </c>
      <c r="G384">
        <v>373</v>
      </c>
      <c r="H384" t="s">
        <v>13</v>
      </c>
      <c r="I384">
        <f t="shared" si="5"/>
        <v>373</v>
      </c>
      <c r="J384">
        <f>Table1[[#This Row],[total_revenue]] * 0.25</f>
        <v>93.25</v>
      </c>
      <c r="K384" t="str">
        <f>IF(Table1[[#This Row],[unit_price]]&gt;=500,"High",IF(Table1[[#This Row],[unit_price]]&gt;100,"Medium","Low"))</f>
        <v>Medium</v>
      </c>
    </row>
    <row r="385" spans="1:11" x14ac:dyDescent="0.45">
      <c r="A385">
        <v>3384</v>
      </c>
      <c r="B385" t="s">
        <v>86</v>
      </c>
      <c r="C385" t="s">
        <v>15</v>
      </c>
      <c r="D385" t="s">
        <v>36</v>
      </c>
      <c r="E385" t="s">
        <v>12</v>
      </c>
      <c r="F385">
        <v>4</v>
      </c>
      <c r="G385">
        <v>102</v>
      </c>
      <c r="H385" t="s">
        <v>25</v>
      </c>
      <c r="I385">
        <f t="shared" si="5"/>
        <v>408</v>
      </c>
      <c r="J385">
        <f>Table1[[#This Row],[total_revenue]] * 0.25</f>
        <v>102</v>
      </c>
      <c r="K385" t="str">
        <f>IF(Table1[[#This Row],[unit_price]]&gt;=500,"High",IF(Table1[[#This Row],[unit_price]]&gt;100,"Medium","Low"))</f>
        <v>Medium</v>
      </c>
    </row>
    <row r="386" spans="1:11" x14ac:dyDescent="0.45">
      <c r="A386">
        <v>3385</v>
      </c>
      <c r="B386" t="s">
        <v>54</v>
      </c>
      <c r="C386" t="s">
        <v>43</v>
      </c>
      <c r="D386" t="s">
        <v>56</v>
      </c>
      <c r="E386" t="s">
        <v>17</v>
      </c>
      <c r="F386">
        <v>6</v>
      </c>
      <c r="G386">
        <v>926</v>
      </c>
      <c r="H386" t="s">
        <v>20</v>
      </c>
      <c r="I386">
        <f t="shared" ref="I386:I449" si="6">F386*G386</f>
        <v>5556</v>
      </c>
      <c r="J386">
        <f>Table1[[#This Row],[total_revenue]] * 0.25</f>
        <v>1389</v>
      </c>
      <c r="K386" t="str">
        <f>IF(Table1[[#This Row],[unit_price]]&gt;=500,"High",IF(Table1[[#This Row],[unit_price]]&gt;100,"Medium","Low"))</f>
        <v>High</v>
      </c>
    </row>
    <row r="387" spans="1:11" x14ac:dyDescent="0.45">
      <c r="A387">
        <v>3386</v>
      </c>
      <c r="B387" t="s">
        <v>188</v>
      </c>
      <c r="C387" t="s">
        <v>27</v>
      </c>
      <c r="D387" t="s">
        <v>11</v>
      </c>
      <c r="E387" t="s">
        <v>12</v>
      </c>
      <c r="F387">
        <v>5</v>
      </c>
      <c r="G387">
        <v>325</v>
      </c>
      <c r="H387" t="s">
        <v>25</v>
      </c>
      <c r="I387">
        <f t="shared" si="6"/>
        <v>1625</v>
      </c>
      <c r="J387">
        <f>Table1[[#This Row],[total_revenue]] * 0.25</f>
        <v>406.25</v>
      </c>
      <c r="K387" t="str">
        <f>IF(Table1[[#This Row],[unit_price]]&gt;=500,"High",IF(Table1[[#This Row],[unit_price]]&gt;100,"Medium","Low"))</f>
        <v>Medium</v>
      </c>
    </row>
    <row r="388" spans="1:11" x14ac:dyDescent="0.45">
      <c r="A388">
        <v>3387</v>
      </c>
      <c r="B388" t="s">
        <v>164</v>
      </c>
      <c r="C388" t="s">
        <v>35</v>
      </c>
      <c r="D388" t="s">
        <v>56</v>
      </c>
      <c r="E388" t="s">
        <v>17</v>
      </c>
      <c r="F388">
        <v>1</v>
      </c>
      <c r="G388">
        <v>888</v>
      </c>
      <c r="H388" t="s">
        <v>25</v>
      </c>
      <c r="I388">
        <f t="shared" si="6"/>
        <v>888</v>
      </c>
      <c r="J388">
        <f>Table1[[#This Row],[total_revenue]] * 0.25</f>
        <v>222</v>
      </c>
      <c r="K388" t="str">
        <f>IF(Table1[[#This Row],[unit_price]]&gt;=500,"High",IF(Table1[[#This Row],[unit_price]]&gt;100,"Medium","Low"))</f>
        <v>High</v>
      </c>
    </row>
    <row r="389" spans="1:11" x14ac:dyDescent="0.45">
      <c r="A389">
        <v>3388</v>
      </c>
      <c r="B389" t="s">
        <v>163</v>
      </c>
      <c r="C389" t="s">
        <v>59</v>
      </c>
      <c r="D389" t="s">
        <v>11</v>
      </c>
      <c r="E389" t="s">
        <v>12</v>
      </c>
      <c r="F389">
        <v>4</v>
      </c>
      <c r="G389">
        <v>392</v>
      </c>
      <c r="H389" t="s">
        <v>20</v>
      </c>
      <c r="I389">
        <f t="shared" si="6"/>
        <v>1568</v>
      </c>
      <c r="J389">
        <f>Table1[[#This Row],[total_revenue]] * 0.25</f>
        <v>392</v>
      </c>
      <c r="K389" t="str">
        <f>IF(Table1[[#This Row],[unit_price]]&gt;=500,"High",IF(Table1[[#This Row],[unit_price]]&gt;100,"Medium","Low"))</f>
        <v>Medium</v>
      </c>
    </row>
    <row r="390" spans="1:11" x14ac:dyDescent="0.45">
      <c r="A390">
        <v>3389</v>
      </c>
      <c r="B390" t="s">
        <v>129</v>
      </c>
      <c r="C390" t="s">
        <v>10</v>
      </c>
      <c r="D390" t="s">
        <v>11</v>
      </c>
      <c r="E390" t="s">
        <v>12</v>
      </c>
      <c r="F390">
        <v>5</v>
      </c>
      <c r="G390">
        <v>373</v>
      </c>
      <c r="H390" t="s">
        <v>25</v>
      </c>
      <c r="I390">
        <f t="shared" si="6"/>
        <v>1865</v>
      </c>
      <c r="J390">
        <f>Table1[[#This Row],[total_revenue]] * 0.25</f>
        <v>466.25</v>
      </c>
      <c r="K390" t="str">
        <f>IF(Table1[[#This Row],[unit_price]]&gt;=500,"High",IF(Table1[[#This Row],[unit_price]]&gt;100,"Medium","Low"))</f>
        <v>Medium</v>
      </c>
    </row>
    <row r="391" spans="1:11" x14ac:dyDescent="0.45">
      <c r="A391">
        <v>3390</v>
      </c>
      <c r="B391" t="s">
        <v>188</v>
      </c>
      <c r="C391" t="s">
        <v>61</v>
      </c>
      <c r="D391" t="s">
        <v>16</v>
      </c>
      <c r="E391" t="s">
        <v>17</v>
      </c>
      <c r="F391">
        <v>1</v>
      </c>
      <c r="G391">
        <v>451</v>
      </c>
      <c r="H391" t="s">
        <v>25</v>
      </c>
      <c r="I391">
        <f t="shared" si="6"/>
        <v>451</v>
      </c>
      <c r="J391">
        <f>Table1[[#This Row],[total_revenue]] * 0.25</f>
        <v>112.75</v>
      </c>
      <c r="K391" t="str">
        <f>IF(Table1[[#This Row],[unit_price]]&gt;=500,"High",IF(Table1[[#This Row],[unit_price]]&gt;100,"Medium","Low"))</f>
        <v>Medium</v>
      </c>
    </row>
    <row r="392" spans="1:11" x14ac:dyDescent="0.45">
      <c r="A392">
        <v>3391</v>
      </c>
      <c r="B392" t="s">
        <v>181</v>
      </c>
      <c r="C392" t="s">
        <v>61</v>
      </c>
      <c r="D392" t="s">
        <v>36</v>
      </c>
      <c r="E392" t="s">
        <v>12</v>
      </c>
      <c r="F392">
        <v>3</v>
      </c>
      <c r="G392">
        <v>93</v>
      </c>
      <c r="H392" t="s">
        <v>20</v>
      </c>
      <c r="I392">
        <f t="shared" si="6"/>
        <v>279</v>
      </c>
      <c r="J392">
        <f>Table1[[#This Row],[total_revenue]] * 0.25</f>
        <v>69.75</v>
      </c>
      <c r="K392" t="str">
        <f>IF(Table1[[#This Row],[unit_price]]&gt;=500,"High",IF(Table1[[#This Row],[unit_price]]&gt;100,"Medium","Low"))</f>
        <v>Low</v>
      </c>
    </row>
    <row r="393" spans="1:11" x14ac:dyDescent="0.45">
      <c r="A393">
        <v>3392</v>
      </c>
      <c r="B393" t="s">
        <v>192</v>
      </c>
      <c r="C393" t="s">
        <v>10</v>
      </c>
      <c r="D393" t="s">
        <v>28</v>
      </c>
      <c r="E393" t="s">
        <v>17</v>
      </c>
      <c r="F393">
        <v>4</v>
      </c>
      <c r="G393">
        <v>11</v>
      </c>
      <c r="H393" t="s">
        <v>25</v>
      </c>
      <c r="I393">
        <f t="shared" si="6"/>
        <v>44</v>
      </c>
      <c r="J393">
        <f>Table1[[#This Row],[total_revenue]] * 0.25</f>
        <v>11</v>
      </c>
      <c r="K393" t="str">
        <f>IF(Table1[[#This Row],[unit_price]]&gt;=500,"High",IF(Table1[[#This Row],[unit_price]]&gt;100,"Medium","Low"))</f>
        <v>Low</v>
      </c>
    </row>
    <row r="394" spans="1:11" x14ac:dyDescent="0.45">
      <c r="A394">
        <v>3393</v>
      </c>
      <c r="B394" t="s">
        <v>152</v>
      </c>
      <c r="C394" t="s">
        <v>30</v>
      </c>
      <c r="D394" t="s">
        <v>41</v>
      </c>
      <c r="E394" t="s">
        <v>12</v>
      </c>
      <c r="F394">
        <v>3</v>
      </c>
      <c r="G394">
        <v>284</v>
      </c>
      <c r="H394" t="s">
        <v>25</v>
      </c>
      <c r="I394">
        <f t="shared" si="6"/>
        <v>852</v>
      </c>
      <c r="J394">
        <f>Table1[[#This Row],[total_revenue]] * 0.25</f>
        <v>213</v>
      </c>
      <c r="K394" t="str">
        <f>IF(Table1[[#This Row],[unit_price]]&gt;=500,"High",IF(Table1[[#This Row],[unit_price]]&gt;100,"Medium","Low"))</f>
        <v>Medium</v>
      </c>
    </row>
    <row r="395" spans="1:11" x14ac:dyDescent="0.45">
      <c r="A395">
        <v>3394</v>
      </c>
      <c r="B395" t="s">
        <v>101</v>
      </c>
      <c r="C395" t="s">
        <v>10</v>
      </c>
      <c r="D395" t="s">
        <v>56</v>
      </c>
      <c r="E395" t="s">
        <v>17</v>
      </c>
      <c r="F395">
        <v>5</v>
      </c>
      <c r="G395">
        <v>871</v>
      </c>
      <c r="H395" t="s">
        <v>20</v>
      </c>
      <c r="I395">
        <f t="shared" si="6"/>
        <v>4355</v>
      </c>
      <c r="J395">
        <f>Table1[[#This Row],[total_revenue]] * 0.25</f>
        <v>1088.75</v>
      </c>
      <c r="K395" t="str">
        <f>IF(Table1[[#This Row],[unit_price]]&gt;=500,"High",IF(Table1[[#This Row],[unit_price]]&gt;100,"Medium","Low"))</f>
        <v>High</v>
      </c>
    </row>
    <row r="396" spans="1:11" x14ac:dyDescent="0.45">
      <c r="A396">
        <v>3395</v>
      </c>
      <c r="B396" t="s">
        <v>118</v>
      </c>
      <c r="C396" t="s">
        <v>10</v>
      </c>
      <c r="D396" t="s">
        <v>56</v>
      </c>
      <c r="E396" t="s">
        <v>17</v>
      </c>
      <c r="F396">
        <v>4</v>
      </c>
      <c r="G396">
        <v>851</v>
      </c>
      <c r="H396" t="s">
        <v>25</v>
      </c>
      <c r="I396">
        <f t="shared" si="6"/>
        <v>3404</v>
      </c>
      <c r="J396">
        <f>Table1[[#This Row],[total_revenue]] * 0.25</f>
        <v>851</v>
      </c>
      <c r="K396" t="str">
        <f>IF(Table1[[#This Row],[unit_price]]&gt;=500,"High",IF(Table1[[#This Row],[unit_price]]&gt;100,"Medium","Low"))</f>
        <v>High</v>
      </c>
    </row>
    <row r="397" spans="1:11" x14ac:dyDescent="0.45">
      <c r="A397">
        <v>3396</v>
      </c>
      <c r="B397" t="s">
        <v>109</v>
      </c>
      <c r="C397" t="s">
        <v>59</v>
      </c>
      <c r="D397" t="s">
        <v>11</v>
      </c>
      <c r="E397" t="s">
        <v>12</v>
      </c>
      <c r="F397">
        <v>3</v>
      </c>
      <c r="G397">
        <v>371</v>
      </c>
      <c r="H397" t="s">
        <v>25</v>
      </c>
      <c r="I397">
        <f t="shared" si="6"/>
        <v>1113</v>
      </c>
      <c r="J397">
        <f>Table1[[#This Row],[total_revenue]] * 0.25</f>
        <v>278.25</v>
      </c>
      <c r="K397" t="str">
        <f>IF(Table1[[#This Row],[unit_price]]&gt;=500,"High",IF(Table1[[#This Row],[unit_price]]&gt;100,"Medium","Low"))</f>
        <v>Medium</v>
      </c>
    </row>
    <row r="398" spans="1:11" x14ac:dyDescent="0.45">
      <c r="A398">
        <v>3397</v>
      </c>
      <c r="B398" t="s">
        <v>145</v>
      </c>
      <c r="C398" t="s">
        <v>32</v>
      </c>
      <c r="D398" t="s">
        <v>28</v>
      </c>
      <c r="E398" t="s">
        <v>17</v>
      </c>
      <c r="F398">
        <v>6</v>
      </c>
      <c r="G398">
        <v>45</v>
      </c>
      <c r="H398" t="s">
        <v>13</v>
      </c>
      <c r="I398">
        <f t="shared" si="6"/>
        <v>270</v>
      </c>
      <c r="J398">
        <f>Table1[[#This Row],[total_revenue]] * 0.25</f>
        <v>67.5</v>
      </c>
      <c r="K398" t="str">
        <f>IF(Table1[[#This Row],[unit_price]]&gt;=500,"High",IF(Table1[[#This Row],[unit_price]]&gt;100,"Medium","Low"))</f>
        <v>Low</v>
      </c>
    </row>
    <row r="399" spans="1:11" x14ac:dyDescent="0.45">
      <c r="A399">
        <v>3398</v>
      </c>
      <c r="B399" t="s">
        <v>108</v>
      </c>
      <c r="C399" t="s">
        <v>30</v>
      </c>
      <c r="D399" t="s">
        <v>22</v>
      </c>
      <c r="E399" t="s">
        <v>17</v>
      </c>
      <c r="F399">
        <v>3</v>
      </c>
      <c r="G399">
        <v>-11</v>
      </c>
      <c r="H399" t="s">
        <v>20</v>
      </c>
      <c r="I399">
        <f t="shared" si="6"/>
        <v>-33</v>
      </c>
      <c r="J399">
        <f>Table1[[#This Row],[total_revenue]] * 0.25</f>
        <v>-8.25</v>
      </c>
      <c r="K399" t="str">
        <f>IF(Table1[[#This Row],[unit_price]]&gt;=500,"High",IF(Table1[[#This Row],[unit_price]]&gt;100,"Medium","Low"))</f>
        <v>Low</v>
      </c>
    </row>
    <row r="400" spans="1:11" x14ac:dyDescent="0.45">
      <c r="A400">
        <v>3399</v>
      </c>
      <c r="B400" t="s">
        <v>183</v>
      </c>
      <c r="C400" t="s">
        <v>10</v>
      </c>
      <c r="D400" t="s">
        <v>56</v>
      </c>
      <c r="E400" t="s">
        <v>17</v>
      </c>
      <c r="F400">
        <v>3</v>
      </c>
      <c r="G400">
        <v>933</v>
      </c>
      <c r="H400" t="s">
        <v>25</v>
      </c>
      <c r="I400">
        <f t="shared" si="6"/>
        <v>2799</v>
      </c>
      <c r="J400">
        <f>Table1[[#This Row],[total_revenue]] * 0.25</f>
        <v>699.75</v>
      </c>
      <c r="K400" t="str">
        <f>IF(Table1[[#This Row],[unit_price]]&gt;=500,"High",IF(Table1[[#This Row],[unit_price]]&gt;100,"Medium","Low"))</f>
        <v>High</v>
      </c>
    </row>
    <row r="401" spans="1:11" x14ac:dyDescent="0.45">
      <c r="A401">
        <v>3400</v>
      </c>
      <c r="B401" t="s">
        <v>76</v>
      </c>
      <c r="C401" t="s">
        <v>35</v>
      </c>
      <c r="D401" t="s">
        <v>65</v>
      </c>
      <c r="E401" t="s">
        <v>17</v>
      </c>
      <c r="F401">
        <v>6</v>
      </c>
      <c r="G401">
        <v>85</v>
      </c>
      <c r="H401" t="s">
        <v>25</v>
      </c>
      <c r="I401">
        <f t="shared" si="6"/>
        <v>510</v>
      </c>
      <c r="J401">
        <f>Table1[[#This Row],[total_revenue]] * 0.25</f>
        <v>127.5</v>
      </c>
      <c r="K401" t="str">
        <f>IF(Table1[[#This Row],[unit_price]]&gt;=500,"High",IF(Table1[[#This Row],[unit_price]]&gt;100,"Medium","Low"))</f>
        <v>Low</v>
      </c>
    </row>
    <row r="402" spans="1:11" x14ac:dyDescent="0.45">
      <c r="A402">
        <v>3401</v>
      </c>
      <c r="B402" t="s">
        <v>67</v>
      </c>
      <c r="C402" t="s">
        <v>52</v>
      </c>
      <c r="D402" t="s">
        <v>16</v>
      </c>
      <c r="E402" t="s">
        <v>17</v>
      </c>
      <c r="F402">
        <v>4</v>
      </c>
      <c r="G402">
        <v>427</v>
      </c>
      <c r="H402" t="s">
        <v>13</v>
      </c>
      <c r="I402">
        <f t="shared" si="6"/>
        <v>1708</v>
      </c>
      <c r="J402">
        <f>Table1[[#This Row],[total_revenue]] * 0.25</f>
        <v>427</v>
      </c>
      <c r="K402" t="str">
        <f>IF(Table1[[#This Row],[unit_price]]&gt;=500,"High",IF(Table1[[#This Row],[unit_price]]&gt;100,"Medium","Low"))</f>
        <v>Medium</v>
      </c>
    </row>
    <row r="403" spans="1:11" x14ac:dyDescent="0.45">
      <c r="A403">
        <v>3402</v>
      </c>
      <c r="B403" t="s">
        <v>102</v>
      </c>
      <c r="C403" t="s">
        <v>19</v>
      </c>
      <c r="D403" t="s">
        <v>36</v>
      </c>
      <c r="E403" t="s">
        <v>12</v>
      </c>
      <c r="F403">
        <v>5</v>
      </c>
      <c r="G403">
        <v>70</v>
      </c>
      <c r="H403" t="s">
        <v>25</v>
      </c>
      <c r="I403">
        <f t="shared" si="6"/>
        <v>350</v>
      </c>
      <c r="J403">
        <f>Table1[[#This Row],[total_revenue]] * 0.25</f>
        <v>87.5</v>
      </c>
      <c r="K403" t="str">
        <f>IF(Table1[[#This Row],[unit_price]]&gt;=500,"High",IF(Table1[[#This Row],[unit_price]]&gt;100,"Medium","Low"))</f>
        <v>Low</v>
      </c>
    </row>
    <row r="404" spans="1:11" x14ac:dyDescent="0.45">
      <c r="A404">
        <v>3403</v>
      </c>
      <c r="B404" t="s">
        <v>172</v>
      </c>
      <c r="C404" t="s">
        <v>27</v>
      </c>
      <c r="D404" t="s">
        <v>65</v>
      </c>
      <c r="E404" t="s">
        <v>17</v>
      </c>
      <c r="F404">
        <v>4</v>
      </c>
      <c r="G404">
        <v>25</v>
      </c>
      <c r="H404" t="s">
        <v>25</v>
      </c>
      <c r="I404">
        <f t="shared" si="6"/>
        <v>100</v>
      </c>
      <c r="J404">
        <f>Table1[[#This Row],[total_revenue]] * 0.25</f>
        <v>25</v>
      </c>
      <c r="K404" t="str">
        <f>IF(Table1[[#This Row],[unit_price]]&gt;=500,"High",IF(Table1[[#This Row],[unit_price]]&gt;100,"Medium","Low"))</f>
        <v>Low</v>
      </c>
    </row>
    <row r="405" spans="1:11" x14ac:dyDescent="0.45">
      <c r="A405">
        <v>3404</v>
      </c>
      <c r="B405" t="s">
        <v>172</v>
      </c>
      <c r="C405" t="s">
        <v>27</v>
      </c>
      <c r="D405" t="s">
        <v>41</v>
      </c>
      <c r="E405" t="s">
        <v>12</v>
      </c>
      <c r="F405">
        <v>6</v>
      </c>
      <c r="G405">
        <v>303</v>
      </c>
      <c r="H405" t="s">
        <v>25</v>
      </c>
      <c r="I405">
        <f t="shared" si="6"/>
        <v>1818</v>
      </c>
      <c r="J405">
        <f>Table1[[#This Row],[total_revenue]] * 0.25</f>
        <v>454.5</v>
      </c>
      <c r="K405" t="str">
        <f>IF(Table1[[#This Row],[unit_price]]&gt;=500,"High",IF(Table1[[#This Row],[unit_price]]&gt;100,"Medium","Low"))</f>
        <v>Medium</v>
      </c>
    </row>
    <row r="406" spans="1:11" x14ac:dyDescent="0.45">
      <c r="A406">
        <v>3405</v>
      </c>
      <c r="B406" t="s">
        <v>93</v>
      </c>
      <c r="C406" t="s">
        <v>30</v>
      </c>
      <c r="D406" t="s">
        <v>22</v>
      </c>
      <c r="E406" t="s">
        <v>17</v>
      </c>
      <c r="F406">
        <v>4</v>
      </c>
      <c r="G406">
        <v>64</v>
      </c>
      <c r="H406" t="s">
        <v>13</v>
      </c>
      <c r="I406">
        <f t="shared" si="6"/>
        <v>256</v>
      </c>
      <c r="J406">
        <f>Table1[[#This Row],[total_revenue]] * 0.25</f>
        <v>64</v>
      </c>
      <c r="K406" t="str">
        <f>IF(Table1[[#This Row],[unit_price]]&gt;=500,"High",IF(Table1[[#This Row],[unit_price]]&gt;100,"Medium","Low"))</f>
        <v>Low</v>
      </c>
    </row>
    <row r="407" spans="1:11" x14ac:dyDescent="0.45">
      <c r="A407">
        <v>3406</v>
      </c>
      <c r="B407" t="s">
        <v>118</v>
      </c>
      <c r="C407" t="s">
        <v>52</v>
      </c>
      <c r="D407" t="s">
        <v>16</v>
      </c>
      <c r="E407" t="s">
        <v>17</v>
      </c>
      <c r="F407">
        <v>3</v>
      </c>
      <c r="G407">
        <v>452</v>
      </c>
      <c r="H407" t="s">
        <v>13</v>
      </c>
      <c r="I407">
        <f t="shared" si="6"/>
        <v>1356</v>
      </c>
      <c r="J407">
        <f>Table1[[#This Row],[total_revenue]] * 0.25</f>
        <v>339</v>
      </c>
      <c r="K407" t="str">
        <f>IF(Table1[[#This Row],[unit_price]]&gt;=500,"High",IF(Table1[[#This Row],[unit_price]]&gt;100,"Medium","Low"))</f>
        <v>Medium</v>
      </c>
    </row>
    <row r="408" spans="1:11" x14ac:dyDescent="0.45">
      <c r="A408">
        <v>3407</v>
      </c>
      <c r="B408" t="s">
        <v>99</v>
      </c>
      <c r="C408" t="s">
        <v>10</v>
      </c>
      <c r="D408" t="s">
        <v>22</v>
      </c>
      <c r="E408" t="s">
        <v>17</v>
      </c>
      <c r="F408">
        <v>1</v>
      </c>
      <c r="G408">
        <v>33</v>
      </c>
      <c r="H408" t="s">
        <v>20</v>
      </c>
      <c r="I408">
        <f t="shared" si="6"/>
        <v>33</v>
      </c>
      <c r="J408">
        <f>Table1[[#This Row],[total_revenue]] * 0.25</f>
        <v>8.25</v>
      </c>
      <c r="K408" t="str">
        <f>IF(Table1[[#This Row],[unit_price]]&gt;=500,"High",IF(Table1[[#This Row],[unit_price]]&gt;100,"Medium","Low"))</f>
        <v>Low</v>
      </c>
    </row>
    <row r="409" spans="1:11" x14ac:dyDescent="0.45">
      <c r="A409">
        <v>3408</v>
      </c>
      <c r="B409" t="s">
        <v>97</v>
      </c>
      <c r="C409" t="s">
        <v>35</v>
      </c>
      <c r="D409" t="s">
        <v>11</v>
      </c>
      <c r="E409" t="s">
        <v>12</v>
      </c>
      <c r="F409">
        <v>5</v>
      </c>
      <c r="G409">
        <v>313</v>
      </c>
      <c r="H409" t="s">
        <v>20</v>
      </c>
      <c r="I409">
        <f t="shared" si="6"/>
        <v>1565</v>
      </c>
      <c r="J409">
        <f>Table1[[#This Row],[total_revenue]] * 0.25</f>
        <v>391.25</v>
      </c>
      <c r="K409" t="str">
        <f>IF(Table1[[#This Row],[unit_price]]&gt;=500,"High",IF(Table1[[#This Row],[unit_price]]&gt;100,"Medium","Low"))</f>
        <v>Medium</v>
      </c>
    </row>
    <row r="410" spans="1:11" x14ac:dyDescent="0.45">
      <c r="A410">
        <v>3409</v>
      </c>
      <c r="B410" t="s">
        <v>193</v>
      </c>
      <c r="C410" t="s">
        <v>32</v>
      </c>
      <c r="D410" t="s">
        <v>36</v>
      </c>
      <c r="E410" t="s">
        <v>12</v>
      </c>
      <c r="F410">
        <v>6</v>
      </c>
      <c r="G410">
        <v>55</v>
      </c>
      <c r="H410" t="s">
        <v>20</v>
      </c>
      <c r="I410">
        <f t="shared" si="6"/>
        <v>330</v>
      </c>
      <c r="J410">
        <f>Table1[[#This Row],[total_revenue]] * 0.25</f>
        <v>82.5</v>
      </c>
      <c r="K410" t="str">
        <f>IF(Table1[[#This Row],[unit_price]]&gt;=500,"High",IF(Table1[[#This Row],[unit_price]]&gt;100,"Medium","Low"))</f>
        <v>Low</v>
      </c>
    </row>
    <row r="411" spans="1:11" x14ac:dyDescent="0.45">
      <c r="A411">
        <v>3410</v>
      </c>
      <c r="B411" t="s">
        <v>172</v>
      </c>
      <c r="C411" t="s">
        <v>32</v>
      </c>
      <c r="D411" t="s">
        <v>41</v>
      </c>
      <c r="E411" t="s">
        <v>12</v>
      </c>
      <c r="F411">
        <v>2</v>
      </c>
      <c r="G411">
        <v>317</v>
      </c>
      <c r="H411" t="s">
        <v>13</v>
      </c>
      <c r="I411">
        <f t="shared" si="6"/>
        <v>634</v>
      </c>
      <c r="J411">
        <f>Table1[[#This Row],[total_revenue]] * 0.25</f>
        <v>158.5</v>
      </c>
      <c r="K411" t="str">
        <f>IF(Table1[[#This Row],[unit_price]]&gt;=500,"High",IF(Table1[[#This Row],[unit_price]]&gt;100,"Medium","Low"))</f>
        <v>Medium</v>
      </c>
    </row>
    <row r="412" spans="1:11" x14ac:dyDescent="0.45">
      <c r="A412">
        <v>3411</v>
      </c>
      <c r="B412" t="s">
        <v>147</v>
      </c>
      <c r="C412" t="s">
        <v>32</v>
      </c>
      <c r="D412" t="s">
        <v>28</v>
      </c>
      <c r="E412" t="s">
        <v>17</v>
      </c>
      <c r="F412">
        <v>5</v>
      </c>
      <c r="G412">
        <v>61</v>
      </c>
      <c r="H412" t="s">
        <v>20</v>
      </c>
      <c r="I412">
        <f t="shared" si="6"/>
        <v>305</v>
      </c>
      <c r="J412">
        <f>Table1[[#This Row],[total_revenue]] * 0.25</f>
        <v>76.25</v>
      </c>
      <c r="K412" t="str">
        <f>IF(Table1[[#This Row],[unit_price]]&gt;=500,"High",IF(Table1[[#This Row],[unit_price]]&gt;100,"Medium","Low"))</f>
        <v>Low</v>
      </c>
    </row>
    <row r="413" spans="1:11" x14ac:dyDescent="0.45">
      <c r="A413">
        <v>3412</v>
      </c>
      <c r="B413" t="s">
        <v>82</v>
      </c>
      <c r="C413" t="s">
        <v>61</v>
      </c>
      <c r="D413" t="s">
        <v>16</v>
      </c>
      <c r="E413" t="s">
        <v>17</v>
      </c>
      <c r="F413">
        <v>1</v>
      </c>
      <c r="G413">
        <v>411</v>
      </c>
      <c r="H413" t="s">
        <v>13</v>
      </c>
      <c r="I413">
        <f t="shared" si="6"/>
        <v>411</v>
      </c>
      <c r="J413">
        <f>Table1[[#This Row],[total_revenue]] * 0.25</f>
        <v>102.75</v>
      </c>
      <c r="K413" t="str">
        <f>IF(Table1[[#This Row],[unit_price]]&gt;=500,"High",IF(Table1[[#This Row],[unit_price]]&gt;100,"Medium","Low"))</f>
        <v>Medium</v>
      </c>
    </row>
    <row r="414" spans="1:11" x14ac:dyDescent="0.45">
      <c r="A414">
        <v>3413</v>
      </c>
      <c r="B414" t="s">
        <v>74</v>
      </c>
      <c r="C414" t="s">
        <v>27</v>
      </c>
      <c r="D414" t="s">
        <v>11</v>
      </c>
      <c r="E414" t="s">
        <v>12</v>
      </c>
      <c r="F414">
        <v>5</v>
      </c>
      <c r="G414">
        <v>322</v>
      </c>
      <c r="H414" t="s">
        <v>13</v>
      </c>
      <c r="I414">
        <f t="shared" si="6"/>
        <v>1610</v>
      </c>
      <c r="J414">
        <f>Table1[[#This Row],[total_revenue]] * 0.25</f>
        <v>402.5</v>
      </c>
      <c r="K414" t="str">
        <f>IF(Table1[[#This Row],[unit_price]]&gt;=500,"High",IF(Table1[[#This Row],[unit_price]]&gt;100,"Medium","Low"))</f>
        <v>Medium</v>
      </c>
    </row>
    <row r="415" spans="1:11" x14ac:dyDescent="0.45">
      <c r="A415">
        <v>3414</v>
      </c>
      <c r="B415" t="s">
        <v>157</v>
      </c>
      <c r="C415" t="s">
        <v>10</v>
      </c>
      <c r="D415" t="s">
        <v>28</v>
      </c>
      <c r="E415" t="s">
        <v>17</v>
      </c>
      <c r="F415">
        <v>6</v>
      </c>
      <c r="G415">
        <v>40</v>
      </c>
      <c r="H415" t="s">
        <v>20</v>
      </c>
      <c r="I415">
        <f t="shared" si="6"/>
        <v>240</v>
      </c>
      <c r="J415">
        <f>Table1[[#This Row],[total_revenue]] * 0.25</f>
        <v>60</v>
      </c>
      <c r="K415" t="str">
        <f>IF(Table1[[#This Row],[unit_price]]&gt;=500,"High",IF(Table1[[#This Row],[unit_price]]&gt;100,"Medium","Low"))</f>
        <v>Low</v>
      </c>
    </row>
    <row r="416" spans="1:11" x14ac:dyDescent="0.45">
      <c r="A416">
        <v>3415</v>
      </c>
      <c r="B416" t="s">
        <v>94</v>
      </c>
      <c r="C416" t="s">
        <v>24</v>
      </c>
      <c r="D416" t="s">
        <v>28</v>
      </c>
      <c r="E416" t="s">
        <v>17</v>
      </c>
      <c r="F416">
        <v>5</v>
      </c>
      <c r="G416">
        <v>8</v>
      </c>
      <c r="H416" t="s">
        <v>25</v>
      </c>
      <c r="I416">
        <f t="shared" si="6"/>
        <v>40</v>
      </c>
      <c r="J416">
        <f>Table1[[#This Row],[total_revenue]] * 0.25</f>
        <v>10</v>
      </c>
      <c r="K416" t="str">
        <f>IF(Table1[[#This Row],[unit_price]]&gt;=500,"High",IF(Table1[[#This Row],[unit_price]]&gt;100,"Medium","Low"))</f>
        <v>Low</v>
      </c>
    </row>
    <row r="417" spans="1:11" x14ac:dyDescent="0.45">
      <c r="A417">
        <v>3416</v>
      </c>
      <c r="B417" t="s">
        <v>64</v>
      </c>
      <c r="C417" t="s">
        <v>61</v>
      </c>
      <c r="D417" t="s">
        <v>41</v>
      </c>
      <c r="E417" t="s">
        <v>12</v>
      </c>
      <c r="F417">
        <v>2</v>
      </c>
      <c r="G417">
        <v>288</v>
      </c>
      <c r="H417" t="s">
        <v>13</v>
      </c>
      <c r="I417">
        <f t="shared" si="6"/>
        <v>576</v>
      </c>
      <c r="J417">
        <f>Table1[[#This Row],[total_revenue]] * 0.25</f>
        <v>144</v>
      </c>
      <c r="K417" t="str">
        <f>IF(Table1[[#This Row],[unit_price]]&gt;=500,"High",IF(Table1[[#This Row],[unit_price]]&gt;100,"Medium","Low"))</f>
        <v>Medium</v>
      </c>
    </row>
    <row r="418" spans="1:11" x14ac:dyDescent="0.45">
      <c r="A418">
        <v>3417</v>
      </c>
      <c r="B418" t="s">
        <v>168</v>
      </c>
      <c r="C418" t="s">
        <v>10</v>
      </c>
      <c r="D418" t="s">
        <v>16</v>
      </c>
      <c r="E418" t="s">
        <v>17</v>
      </c>
      <c r="F418">
        <v>2</v>
      </c>
      <c r="G418">
        <v>474</v>
      </c>
      <c r="H418" t="s">
        <v>20</v>
      </c>
      <c r="I418">
        <f t="shared" si="6"/>
        <v>948</v>
      </c>
      <c r="J418">
        <f>Table1[[#This Row],[total_revenue]] * 0.25</f>
        <v>237</v>
      </c>
      <c r="K418" t="str">
        <f>IF(Table1[[#This Row],[unit_price]]&gt;=500,"High",IF(Table1[[#This Row],[unit_price]]&gt;100,"Medium","Low"))</f>
        <v>Medium</v>
      </c>
    </row>
    <row r="419" spans="1:11" x14ac:dyDescent="0.45">
      <c r="A419">
        <v>3418</v>
      </c>
      <c r="B419" t="s">
        <v>126</v>
      </c>
      <c r="C419" t="s">
        <v>15</v>
      </c>
      <c r="D419" t="s">
        <v>65</v>
      </c>
      <c r="E419" t="s">
        <v>17</v>
      </c>
      <c r="F419">
        <v>6</v>
      </c>
      <c r="G419">
        <v>69</v>
      </c>
      <c r="H419" t="s">
        <v>13</v>
      </c>
      <c r="I419">
        <f t="shared" si="6"/>
        <v>414</v>
      </c>
      <c r="J419">
        <f>Table1[[#This Row],[total_revenue]] * 0.25</f>
        <v>103.5</v>
      </c>
      <c r="K419" t="str">
        <f>IF(Table1[[#This Row],[unit_price]]&gt;=500,"High",IF(Table1[[#This Row],[unit_price]]&gt;100,"Medium","Low"))</f>
        <v>Low</v>
      </c>
    </row>
    <row r="420" spans="1:11" x14ac:dyDescent="0.45">
      <c r="A420">
        <v>3419</v>
      </c>
      <c r="B420" t="s">
        <v>186</v>
      </c>
      <c r="C420" t="s">
        <v>19</v>
      </c>
      <c r="D420" t="s">
        <v>38</v>
      </c>
      <c r="E420" t="s">
        <v>17</v>
      </c>
      <c r="F420">
        <v>4</v>
      </c>
      <c r="G420">
        <v>208</v>
      </c>
      <c r="H420" t="s">
        <v>25</v>
      </c>
      <c r="I420">
        <f t="shared" si="6"/>
        <v>832</v>
      </c>
      <c r="J420">
        <f>Table1[[#This Row],[total_revenue]] * 0.25</f>
        <v>208</v>
      </c>
      <c r="K420" t="str">
        <f>IF(Table1[[#This Row],[unit_price]]&gt;=500,"High",IF(Table1[[#This Row],[unit_price]]&gt;100,"Medium","Low"))</f>
        <v>Medium</v>
      </c>
    </row>
    <row r="421" spans="1:11" x14ac:dyDescent="0.45">
      <c r="A421">
        <v>3420</v>
      </c>
      <c r="B421" t="s">
        <v>88</v>
      </c>
      <c r="C421" t="s">
        <v>27</v>
      </c>
      <c r="D421" t="s">
        <v>65</v>
      </c>
      <c r="E421" t="s">
        <v>17</v>
      </c>
      <c r="F421">
        <v>5</v>
      </c>
      <c r="G421">
        <v>100</v>
      </c>
      <c r="H421" t="s">
        <v>25</v>
      </c>
      <c r="I421">
        <f t="shared" si="6"/>
        <v>500</v>
      </c>
      <c r="J421">
        <f>Table1[[#This Row],[total_revenue]] * 0.25</f>
        <v>125</v>
      </c>
      <c r="K421" t="str">
        <f>IF(Table1[[#This Row],[unit_price]]&gt;=500,"High",IF(Table1[[#This Row],[unit_price]]&gt;100,"Medium","Low"))</f>
        <v>Low</v>
      </c>
    </row>
    <row r="422" spans="1:11" x14ac:dyDescent="0.45">
      <c r="A422">
        <v>3421</v>
      </c>
      <c r="B422" t="s">
        <v>173</v>
      </c>
      <c r="C422" t="s">
        <v>19</v>
      </c>
      <c r="D422" t="s">
        <v>56</v>
      </c>
      <c r="E422" t="s">
        <v>17</v>
      </c>
      <c r="F422">
        <v>2</v>
      </c>
      <c r="G422">
        <v>891</v>
      </c>
      <c r="H422" t="s">
        <v>25</v>
      </c>
      <c r="I422">
        <f t="shared" si="6"/>
        <v>1782</v>
      </c>
      <c r="J422">
        <f>Table1[[#This Row],[total_revenue]] * 0.25</f>
        <v>445.5</v>
      </c>
      <c r="K422" t="str">
        <f>IF(Table1[[#This Row],[unit_price]]&gt;=500,"High",IF(Table1[[#This Row],[unit_price]]&gt;100,"Medium","Low"))</f>
        <v>High</v>
      </c>
    </row>
    <row r="423" spans="1:11" x14ac:dyDescent="0.45">
      <c r="A423">
        <v>3422</v>
      </c>
      <c r="B423" t="s">
        <v>194</v>
      </c>
      <c r="C423" t="s">
        <v>32</v>
      </c>
      <c r="D423" t="s">
        <v>28</v>
      </c>
      <c r="E423" t="s">
        <v>17</v>
      </c>
      <c r="F423">
        <v>2</v>
      </c>
      <c r="G423">
        <v>33</v>
      </c>
      <c r="H423" t="s">
        <v>20</v>
      </c>
      <c r="I423">
        <f t="shared" si="6"/>
        <v>66</v>
      </c>
      <c r="J423">
        <f>Table1[[#This Row],[total_revenue]] * 0.25</f>
        <v>16.5</v>
      </c>
      <c r="K423" t="str">
        <f>IF(Table1[[#This Row],[unit_price]]&gt;=500,"High",IF(Table1[[#This Row],[unit_price]]&gt;100,"Medium","Low"))</f>
        <v>Low</v>
      </c>
    </row>
    <row r="424" spans="1:11" x14ac:dyDescent="0.45">
      <c r="A424">
        <v>3423</v>
      </c>
      <c r="B424" t="s">
        <v>195</v>
      </c>
      <c r="C424" t="s">
        <v>52</v>
      </c>
      <c r="D424" t="s">
        <v>16</v>
      </c>
      <c r="E424" t="s">
        <v>17</v>
      </c>
      <c r="F424">
        <v>2</v>
      </c>
      <c r="G424">
        <v>419</v>
      </c>
      <c r="H424" t="s">
        <v>13</v>
      </c>
      <c r="I424">
        <f t="shared" si="6"/>
        <v>838</v>
      </c>
      <c r="J424">
        <f>Table1[[#This Row],[total_revenue]] * 0.25</f>
        <v>209.5</v>
      </c>
      <c r="K424" t="str">
        <f>IF(Table1[[#This Row],[unit_price]]&gt;=500,"High",IF(Table1[[#This Row],[unit_price]]&gt;100,"Medium","Low"))</f>
        <v>Medium</v>
      </c>
    </row>
    <row r="425" spans="1:11" x14ac:dyDescent="0.45">
      <c r="A425">
        <v>3424</v>
      </c>
      <c r="B425" t="s">
        <v>29</v>
      </c>
      <c r="C425" t="s">
        <v>15</v>
      </c>
      <c r="D425" t="s">
        <v>16</v>
      </c>
      <c r="E425" t="s">
        <v>17</v>
      </c>
      <c r="F425">
        <v>1</v>
      </c>
      <c r="G425">
        <v>431</v>
      </c>
      <c r="H425" t="s">
        <v>13</v>
      </c>
      <c r="I425">
        <f t="shared" si="6"/>
        <v>431</v>
      </c>
      <c r="J425">
        <f>Table1[[#This Row],[total_revenue]] * 0.25</f>
        <v>107.75</v>
      </c>
      <c r="K425" t="str">
        <f>IF(Table1[[#This Row],[unit_price]]&gt;=500,"High",IF(Table1[[#This Row],[unit_price]]&gt;100,"Medium","Low"))</f>
        <v>Medium</v>
      </c>
    </row>
    <row r="426" spans="1:11" x14ac:dyDescent="0.45">
      <c r="A426">
        <v>3425</v>
      </c>
      <c r="B426" t="s">
        <v>29</v>
      </c>
      <c r="C426" t="s">
        <v>15</v>
      </c>
      <c r="D426" t="s">
        <v>11</v>
      </c>
      <c r="E426" t="s">
        <v>12</v>
      </c>
      <c r="F426">
        <v>5</v>
      </c>
      <c r="G426">
        <v>340</v>
      </c>
      <c r="H426" t="s">
        <v>25</v>
      </c>
      <c r="I426">
        <f t="shared" si="6"/>
        <v>1700</v>
      </c>
      <c r="J426">
        <f>Table1[[#This Row],[total_revenue]] * 0.25</f>
        <v>425</v>
      </c>
      <c r="K426" t="str">
        <f>IF(Table1[[#This Row],[unit_price]]&gt;=500,"High",IF(Table1[[#This Row],[unit_price]]&gt;100,"Medium","Low"))</f>
        <v>Medium</v>
      </c>
    </row>
    <row r="427" spans="1:11" x14ac:dyDescent="0.45">
      <c r="A427">
        <v>3426</v>
      </c>
      <c r="B427" t="s">
        <v>178</v>
      </c>
      <c r="C427" t="s">
        <v>61</v>
      </c>
      <c r="D427" t="s">
        <v>22</v>
      </c>
      <c r="E427" t="s">
        <v>17</v>
      </c>
      <c r="F427">
        <v>3</v>
      </c>
      <c r="G427">
        <v>67</v>
      </c>
      <c r="H427" t="s">
        <v>20</v>
      </c>
      <c r="I427">
        <f t="shared" si="6"/>
        <v>201</v>
      </c>
      <c r="J427">
        <f>Table1[[#This Row],[total_revenue]] * 0.25</f>
        <v>50.25</v>
      </c>
      <c r="K427" t="str">
        <f>IF(Table1[[#This Row],[unit_price]]&gt;=500,"High",IF(Table1[[#This Row],[unit_price]]&gt;100,"Medium","Low"))</f>
        <v>Low</v>
      </c>
    </row>
    <row r="428" spans="1:11" x14ac:dyDescent="0.45">
      <c r="A428">
        <v>3427</v>
      </c>
      <c r="B428" t="s">
        <v>106</v>
      </c>
      <c r="C428" t="s">
        <v>10</v>
      </c>
      <c r="D428" t="s">
        <v>11</v>
      </c>
      <c r="E428" t="s">
        <v>12</v>
      </c>
      <c r="F428">
        <v>2</v>
      </c>
      <c r="G428">
        <v>315</v>
      </c>
      <c r="H428" t="s">
        <v>25</v>
      </c>
      <c r="I428">
        <f t="shared" si="6"/>
        <v>630</v>
      </c>
      <c r="J428">
        <f>Table1[[#This Row],[total_revenue]] * 0.25</f>
        <v>157.5</v>
      </c>
      <c r="K428" t="str">
        <f>IF(Table1[[#This Row],[unit_price]]&gt;=500,"High",IF(Table1[[#This Row],[unit_price]]&gt;100,"Medium","Low"))</f>
        <v>Medium</v>
      </c>
    </row>
    <row r="429" spans="1:11" x14ac:dyDescent="0.45">
      <c r="A429">
        <v>3428</v>
      </c>
      <c r="B429" t="s">
        <v>132</v>
      </c>
      <c r="C429" t="s">
        <v>24</v>
      </c>
      <c r="D429" t="s">
        <v>38</v>
      </c>
      <c r="E429" t="s">
        <v>17</v>
      </c>
      <c r="F429">
        <v>6</v>
      </c>
      <c r="G429">
        <v>224</v>
      </c>
      <c r="H429" t="s">
        <v>13</v>
      </c>
      <c r="I429">
        <f t="shared" si="6"/>
        <v>1344</v>
      </c>
      <c r="J429">
        <f>Table1[[#This Row],[total_revenue]] * 0.25</f>
        <v>336</v>
      </c>
      <c r="K429" t="str">
        <f>IF(Table1[[#This Row],[unit_price]]&gt;=500,"High",IF(Table1[[#This Row],[unit_price]]&gt;100,"Medium","Low"))</f>
        <v>Medium</v>
      </c>
    </row>
    <row r="430" spans="1:11" x14ac:dyDescent="0.45">
      <c r="A430">
        <v>3429</v>
      </c>
      <c r="B430" t="s">
        <v>126</v>
      </c>
      <c r="C430" t="s">
        <v>15</v>
      </c>
      <c r="D430" t="s">
        <v>11</v>
      </c>
      <c r="E430" t="s">
        <v>12</v>
      </c>
      <c r="F430">
        <v>6</v>
      </c>
      <c r="G430">
        <v>393</v>
      </c>
      <c r="H430" t="s">
        <v>25</v>
      </c>
      <c r="I430">
        <f t="shared" si="6"/>
        <v>2358</v>
      </c>
      <c r="J430">
        <f>Table1[[#This Row],[total_revenue]] * 0.25</f>
        <v>589.5</v>
      </c>
      <c r="K430" t="str">
        <f>IF(Table1[[#This Row],[unit_price]]&gt;=500,"High",IF(Table1[[#This Row],[unit_price]]&gt;100,"Medium","Low"))</f>
        <v>Medium</v>
      </c>
    </row>
    <row r="431" spans="1:11" x14ac:dyDescent="0.45">
      <c r="A431">
        <v>3430</v>
      </c>
      <c r="B431" t="s">
        <v>140</v>
      </c>
      <c r="C431" t="s">
        <v>15</v>
      </c>
      <c r="D431" t="s">
        <v>11</v>
      </c>
      <c r="E431" t="s">
        <v>12</v>
      </c>
      <c r="F431">
        <v>1</v>
      </c>
      <c r="G431">
        <v>397</v>
      </c>
      <c r="H431" t="s">
        <v>25</v>
      </c>
      <c r="I431">
        <f t="shared" si="6"/>
        <v>397</v>
      </c>
      <c r="J431">
        <f>Table1[[#This Row],[total_revenue]] * 0.25</f>
        <v>99.25</v>
      </c>
      <c r="K431" t="str">
        <f>IF(Table1[[#This Row],[unit_price]]&gt;=500,"High",IF(Table1[[#This Row],[unit_price]]&gt;100,"Medium","Low"))</f>
        <v>Medium</v>
      </c>
    </row>
    <row r="432" spans="1:11" x14ac:dyDescent="0.45">
      <c r="A432">
        <v>3431</v>
      </c>
      <c r="B432" t="s">
        <v>174</v>
      </c>
      <c r="C432" t="s">
        <v>52</v>
      </c>
      <c r="D432" t="s">
        <v>38</v>
      </c>
      <c r="E432" t="s">
        <v>17</v>
      </c>
      <c r="F432">
        <v>2</v>
      </c>
      <c r="G432">
        <v>242</v>
      </c>
      <c r="H432" t="s">
        <v>13</v>
      </c>
      <c r="I432">
        <f t="shared" si="6"/>
        <v>484</v>
      </c>
      <c r="J432">
        <f>Table1[[#This Row],[total_revenue]] * 0.25</f>
        <v>121</v>
      </c>
      <c r="K432" t="str">
        <f>IF(Table1[[#This Row],[unit_price]]&gt;=500,"High",IF(Table1[[#This Row],[unit_price]]&gt;100,"Medium","Low"))</f>
        <v>Medium</v>
      </c>
    </row>
    <row r="433" spans="1:11" x14ac:dyDescent="0.45">
      <c r="A433">
        <v>3432</v>
      </c>
      <c r="B433" t="s">
        <v>98</v>
      </c>
      <c r="C433" t="s">
        <v>30</v>
      </c>
      <c r="D433" t="s">
        <v>41</v>
      </c>
      <c r="E433" t="s">
        <v>12</v>
      </c>
      <c r="F433">
        <v>6</v>
      </c>
      <c r="G433">
        <v>289</v>
      </c>
      <c r="H433" t="s">
        <v>20</v>
      </c>
      <c r="I433">
        <f t="shared" si="6"/>
        <v>1734</v>
      </c>
      <c r="J433">
        <f>Table1[[#This Row],[total_revenue]] * 0.25</f>
        <v>433.5</v>
      </c>
      <c r="K433" t="str">
        <f>IF(Table1[[#This Row],[unit_price]]&gt;=500,"High",IF(Table1[[#This Row],[unit_price]]&gt;100,"Medium","Low"))</f>
        <v>Medium</v>
      </c>
    </row>
    <row r="434" spans="1:11" x14ac:dyDescent="0.45">
      <c r="A434">
        <v>3433</v>
      </c>
      <c r="B434" t="s">
        <v>158</v>
      </c>
      <c r="C434" t="s">
        <v>61</v>
      </c>
      <c r="D434" t="s">
        <v>56</v>
      </c>
      <c r="E434" t="s">
        <v>17</v>
      </c>
      <c r="F434">
        <v>4</v>
      </c>
      <c r="G434">
        <v>945</v>
      </c>
      <c r="H434" t="s">
        <v>25</v>
      </c>
      <c r="I434">
        <f t="shared" si="6"/>
        <v>3780</v>
      </c>
      <c r="J434">
        <f>Table1[[#This Row],[total_revenue]] * 0.25</f>
        <v>945</v>
      </c>
      <c r="K434" t="str">
        <f>IF(Table1[[#This Row],[unit_price]]&gt;=500,"High",IF(Table1[[#This Row],[unit_price]]&gt;100,"Medium","Low"))</f>
        <v>High</v>
      </c>
    </row>
    <row r="435" spans="1:11" x14ac:dyDescent="0.45">
      <c r="A435">
        <v>3434</v>
      </c>
      <c r="B435" t="s">
        <v>111</v>
      </c>
      <c r="C435" t="s">
        <v>52</v>
      </c>
      <c r="D435" t="s">
        <v>56</v>
      </c>
      <c r="E435" t="s">
        <v>17</v>
      </c>
      <c r="F435">
        <v>5</v>
      </c>
      <c r="G435">
        <v>857</v>
      </c>
      <c r="H435" t="s">
        <v>20</v>
      </c>
      <c r="I435">
        <f t="shared" si="6"/>
        <v>4285</v>
      </c>
      <c r="J435">
        <f>Table1[[#This Row],[total_revenue]] * 0.25</f>
        <v>1071.25</v>
      </c>
      <c r="K435" t="str">
        <f>IF(Table1[[#This Row],[unit_price]]&gt;=500,"High",IF(Table1[[#This Row],[unit_price]]&gt;100,"Medium","Low"))</f>
        <v>High</v>
      </c>
    </row>
    <row r="436" spans="1:11" x14ac:dyDescent="0.45">
      <c r="A436">
        <v>3435</v>
      </c>
      <c r="B436" t="s">
        <v>85</v>
      </c>
      <c r="C436" t="s">
        <v>30</v>
      </c>
      <c r="D436" t="s">
        <v>41</v>
      </c>
      <c r="E436" t="s">
        <v>12</v>
      </c>
      <c r="F436">
        <v>2</v>
      </c>
      <c r="G436">
        <v>264</v>
      </c>
      <c r="H436" t="s">
        <v>25</v>
      </c>
      <c r="I436">
        <f t="shared" si="6"/>
        <v>528</v>
      </c>
      <c r="J436">
        <f>Table1[[#This Row],[total_revenue]] * 0.25</f>
        <v>132</v>
      </c>
      <c r="K436" t="str">
        <f>IF(Table1[[#This Row],[unit_price]]&gt;=500,"High",IF(Table1[[#This Row],[unit_price]]&gt;100,"Medium","Low"))</f>
        <v>Medium</v>
      </c>
    </row>
    <row r="437" spans="1:11" x14ac:dyDescent="0.45">
      <c r="A437">
        <v>3436</v>
      </c>
      <c r="B437" t="s">
        <v>87</v>
      </c>
      <c r="C437" t="s">
        <v>19</v>
      </c>
      <c r="D437" t="s">
        <v>38</v>
      </c>
      <c r="E437" t="s">
        <v>17</v>
      </c>
      <c r="F437">
        <v>1</v>
      </c>
      <c r="G437">
        <v>235</v>
      </c>
      <c r="H437" t="s">
        <v>25</v>
      </c>
      <c r="I437">
        <f t="shared" si="6"/>
        <v>235</v>
      </c>
      <c r="J437">
        <f>Table1[[#This Row],[total_revenue]] * 0.25</f>
        <v>58.75</v>
      </c>
      <c r="K437" t="str">
        <f>IF(Table1[[#This Row],[unit_price]]&gt;=500,"High",IF(Table1[[#This Row],[unit_price]]&gt;100,"Medium","Low"))</f>
        <v>Medium</v>
      </c>
    </row>
    <row r="438" spans="1:11" x14ac:dyDescent="0.45">
      <c r="A438">
        <v>3437</v>
      </c>
      <c r="B438" t="s">
        <v>90</v>
      </c>
      <c r="C438" t="s">
        <v>10</v>
      </c>
      <c r="D438" t="s">
        <v>16</v>
      </c>
      <c r="E438" t="s">
        <v>17</v>
      </c>
      <c r="F438">
        <v>5</v>
      </c>
      <c r="G438">
        <v>412</v>
      </c>
      <c r="H438" t="s">
        <v>13</v>
      </c>
      <c r="I438">
        <f t="shared" si="6"/>
        <v>2060</v>
      </c>
      <c r="J438">
        <f>Table1[[#This Row],[total_revenue]] * 0.25</f>
        <v>515</v>
      </c>
      <c r="K438" t="str">
        <f>IF(Table1[[#This Row],[unit_price]]&gt;=500,"High",IF(Table1[[#This Row],[unit_price]]&gt;100,"Medium","Low"))</f>
        <v>Medium</v>
      </c>
    </row>
    <row r="439" spans="1:11" x14ac:dyDescent="0.45">
      <c r="A439">
        <v>3438</v>
      </c>
      <c r="B439" t="s">
        <v>146</v>
      </c>
      <c r="C439" t="s">
        <v>15</v>
      </c>
      <c r="D439" t="s">
        <v>56</v>
      </c>
      <c r="E439" t="s">
        <v>17</v>
      </c>
      <c r="F439">
        <v>5</v>
      </c>
      <c r="G439">
        <v>874</v>
      </c>
      <c r="H439" t="s">
        <v>20</v>
      </c>
      <c r="I439">
        <f t="shared" si="6"/>
        <v>4370</v>
      </c>
      <c r="J439">
        <f>Table1[[#This Row],[total_revenue]] * 0.25</f>
        <v>1092.5</v>
      </c>
      <c r="K439" t="str">
        <f>IF(Table1[[#This Row],[unit_price]]&gt;=500,"High",IF(Table1[[#This Row],[unit_price]]&gt;100,"Medium","Low"))</f>
        <v>High</v>
      </c>
    </row>
    <row r="440" spans="1:11" x14ac:dyDescent="0.45">
      <c r="A440">
        <v>3439</v>
      </c>
      <c r="B440" t="s">
        <v>186</v>
      </c>
      <c r="C440" t="s">
        <v>15</v>
      </c>
      <c r="D440" t="s">
        <v>11</v>
      </c>
      <c r="E440" t="s">
        <v>12</v>
      </c>
      <c r="F440">
        <v>4</v>
      </c>
      <c r="G440">
        <v>326</v>
      </c>
      <c r="H440" t="s">
        <v>13</v>
      </c>
      <c r="I440">
        <f t="shared" si="6"/>
        <v>1304</v>
      </c>
      <c r="J440">
        <f>Table1[[#This Row],[total_revenue]] * 0.25</f>
        <v>326</v>
      </c>
      <c r="K440" t="str">
        <f>IF(Table1[[#This Row],[unit_price]]&gt;=500,"High",IF(Table1[[#This Row],[unit_price]]&gt;100,"Medium","Low"))</f>
        <v>Medium</v>
      </c>
    </row>
    <row r="441" spans="1:11" x14ac:dyDescent="0.45">
      <c r="A441">
        <v>3440</v>
      </c>
      <c r="B441" t="s">
        <v>128</v>
      </c>
      <c r="C441" t="s">
        <v>32</v>
      </c>
      <c r="D441" t="s">
        <v>38</v>
      </c>
      <c r="E441" t="s">
        <v>17</v>
      </c>
      <c r="F441">
        <v>4</v>
      </c>
      <c r="G441">
        <v>188</v>
      </c>
      <c r="H441" t="s">
        <v>13</v>
      </c>
      <c r="I441">
        <f t="shared" si="6"/>
        <v>752</v>
      </c>
      <c r="J441">
        <f>Table1[[#This Row],[total_revenue]] * 0.25</f>
        <v>188</v>
      </c>
      <c r="K441" t="str">
        <f>IF(Table1[[#This Row],[unit_price]]&gt;=500,"High",IF(Table1[[#This Row],[unit_price]]&gt;100,"Medium","Low"))</f>
        <v>Medium</v>
      </c>
    </row>
    <row r="442" spans="1:11" x14ac:dyDescent="0.45">
      <c r="A442">
        <v>3441</v>
      </c>
      <c r="B442" t="s">
        <v>177</v>
      </c>
      <c r="C442" t="s">
        <v>61</v>
      </c>
      <c r="D442" t="s">
        <v>38</v>
      </c>
      <c r="E442" t="s">
        <v>17</v>
      </c>
      <c r="F442">
        <v>6</v>
      </c>
      <c r="G442">
        <v>190</v>
      </c>
      <c r="H442" t="s">
        <v>20</v>
      </c>
      <c r="I442">
        <f t="shared" si="6"/>
        <v>1140</v>
      </c>
      <c r="J442">
        <f>Table1[[#This Row],[total_revenue]] * 0.25</f>
        <v>285</v>
      </c>
      <c r="K442" t="str">
        <f>IF(Table1[[#This Row],[unit_price]]&gt;=500,"High",IF(Table1[[#This Row],[unit_price]]&gt;100,"Medium","Low"))</f>
        <v>Medium</v>
      </c>
    </row>
    <row r="443" spans="1:11" x14ac:dyDescent="0.45">
      <c r="A443">
        <v>3442</v>
      </c>
      <c r="B443" t="s">
        <v>40</v>
      </c>
      <c r="C443" t="s">
        <v>30</v>
      </c>
      <c r="D443" t="s">
        <v>38</v>
      </c>
      <c r="E443" t="s">
        <v>17</v>
      </c>
      <c r="F443">
        <v>2</v>
      </c>
      <c r="G443">
        <v>175</v>
      </c>
      <c r="H443" t="s">
        <v>25</v>
      </c>
      <c r="I443">
        <f t="shared" si="6"/>
        <v>350</v>
      </c>
      <c r="J443">
        <f>Table1[[#This Row],[total_revenue]] * 0.25</f>
        <v>87.5</v>
      </c>
      <c r="K443" t="str">
        <f>IF(Table1[[#This Row],[unit_price]]&gt;=500,"High",IF(Table1[[#This Row],[unit_price]]&gt;100,"Medium","Low"))</f>
        <v>Medium</v>
      </c>
    </row>
    <row r="444" spans="1:11" x14ac:dyDescent="0.45">
      <c r="A444">
        <v>3443</v>
      </c>
      <c r="B444" t="s">
        <v>120</v>
      </c>
      <c r="C444" t="s">
        <v>24</v>
      </c>
      <c r="D444" t="s">
        <v>28</v>
      </c>
      <c r="E444" t="s">
        <v>17</v>
      </c>
      <c r="F444">
        <v>2</v>
      </c>
      <c r="G444">
        <v>56</v>
      </c>
      <c r="H444" t="s">
        <v>25</v>
      </c>
      <c r="I444">
        <f t="shared" si="6"/>
        <v>112</v>
      </c>
      <c r="J444">
        <f>Table1[[#This Row],[total_revenue]] * 0.25</f>
        <v>28</v>
      </c>
      <c r="K444" t="str">
        <f>IF(Table1[[#This Row],[unit_price]]&gt;=500,"High",IF(Table1[[#This Row],[unit_price]]&gt;100,"Medium","Low"))</f>
        <v>Low</v>
      </c>
    </row>
    <row r="445" spans="1:11" x14ac:dyDescent="0.45">
      <c r="A445">
        <v>3444</v>
      </c>
      <c r="B445" t="s">
        <v>173</v>
      </c>
      <c r="C445" t="s">
        <v>19</v>
      </c>
      <c r="D445" t="s">
        <v>28</v>
      </c>
      <c r="E445" t="s">
        <v>17</v>
      </c>
      <c r="F445">
        <v>4</v>
      </c>
      <c r="G445">
        <v>59</v>
      </c>
      <c r="H445" t="s">
        <v>20</v>
      </c>
      <c r="I445">
        <f t="shared" si="6"/>
        <v>236</v>
      </c>
      <c r="J445">
        <f>Table1[[#This Row],[total_revenue]] * 0.25</f>
        <v>59</v>
      </c>
      <c r="K445" t="str">
        <f>IF(Table1[[#This Row],[unit_price]]&gt;=500,"High",IF(Table1[[#This Row],[unit_price]]&gt;100,"Medium","Low"))</f>
        <v>Low</v>
      </c>
    </row>
    <row r="446" spans="1:11" x14ac:dyDescent="0.45">
      <c r="A446">
        <v>3445</v>
      </c>
      <c r="B446" t="s">
        <v>157</v>
      </c>
      <c r="C446" t="s">
        <v>61</v>
      </c>
      <c r="D446" t="s">
        <v>28</v>
      </c>
      <c r="E446" t="s">
        <v>17</v>
      </c>
      <c r="F446">
        <v>5</v>
      </c>
      <c r="G446">
        <v>-21</v>
      </c>
      <c r="H446" t="s">
        <v>13</v>
      </c>
      <c r="I446">
        <f t="shared" si="6"/>
        <v>-105</v>
      </c>
      <c r="J446">
        <f>Table1[[#This Row],[total_revenue]] * 0.25</f>
        <v>-26.25</v>
      </c>
      <c r="K446" t="str">
        <f>IF(Table1[[#This Row],[unit_price]]&gt;=500,"High",IF(Table1[[#This Row],[unit_price]]&gt;100,"Medium","Low"))</f>
        <v>Low</v>
      </c>
    </row>
    <row r="447" spans="1:11" x14ac:dyDescent="0.45">
      <c r="A447">
        <v>3446</v>
      </c>
      <c r="B447" t="s">
        <v>81</v>
      </c>
      <c r="C447" t="s">
        <v>24</v>
      </c>
      <c r="D447" t="s">
        <v>38</v>
      </c>
      <c r="E447" t="s">
        <v>17</v>
      </c>
      <c r="F447">
        <v>3</v>
      </c>
      <c r="G447">
        <v>155</v>
      </c>
      <c r="H447" t="s">
        <v>25</v>
      </c>
      <c r="I447">
        <f t="shared" si="6"/>
        <v>465</v>
      </c>
      <c r="J447">
        <f>Table1[[#This Row],[total_revenue]] * 0.25</f>
        <v>116.25</v>
      </c>
      <c r="K447" t="str">
        <f>IF(Table1[[#This Row],[unit_price]]&gt;=500,"High",IF(Table1[[#This Row],[unit_price]]&gt;100,"Medium","Low"))</f>
        <v>Medium</v>
      </c>
    </row>
    <row r="448" spans="1:11" x14ac:dyDescent="0.45">
      <c r="A448">
        <v>3447</v>
      </c>
      <c r="B448" t="s">
        <v>112</v>
      </c>
      <c r="C448" t="s">
        <v>59</v>
      </c>
      <c r="D448" t="s">
        <v>65</v>
      </c>
      <c r="E448" t="s">
        <v>17</v>
      </c>
      <c r="F448">
        <v>4</v>
      </c>
      <c r="G448">
        <v>71</v>
      </c>
      <c r="H448" t="s">
        <v>25</v>
      </c>
      <c r="I448">
        <f t="shared" si="6"/>
        <v>284</v>
      </c>
      <c r="J448">
        <f>Table1[[#This Row],[total_revenue]] * 0.25</f>
        <v>71</v>
      </c>
      <c r="K448" t="str">
        <f>IF(Table1[[#This Row],[unit_price]]&gt;=500,"High",IF(Table1[[#This Row],[unit_price]]&gt;100,"Medium","Low"))</f>
        <v>Low</v>
      </c>
    </row>
    <row r="449" spans="1:11" x14ac:dyDescent="0.45">
      <c r="A449">
        <v>3448</v>
      </c>
      <c r="B449" t="s">
        <v>40</v>
      </c>
      <c r="C449" t="s">
        <v>24</v>
      </c>
      <c r="D449" t="s">
        <v>36</v>
      </c>
      <c r="E449" t="s">
        <v>12</v>
      </c>
      <c r="F449">
        <v>6</v>
      </c>
      <c r="G449">
        <v>144</v>
      </c>
      <c r="H449" t="s">
        <v>25</v>
      </c>
      <c r="I449">
        <f t="shared" si="6"/>
        <v>864</v>
      </c>
      <c r="J449">
        <f>Table1[[#This Row],[total_revenue]] * 0.25</f>
        <v>216</v>
      </c>
      <c r="K449" t="str">
        <f>IF(Table1[[#This Row],[unit_price]]&gt;=500,"High",IF(Table1[[#This Row],[unit_price]]&gt;100,"Medium","Low"))</f>
        <v>Medium</v>
      </c>
    </row>
    <row r="450" spans="1:11" x14ac:dyDescent="0.45">
      <c r="A450">
        <v>3449</v>
      </c>
      <c r="B450" t="s">
        <v>161</v>
      </c>
      <c r="C450" t="s">
        <v>32</v>
      </c>
      <c r="D450" t="s">
        <v>38</v>
      </c>
      <c r="E450" t="s">
        <v>17</v>
      </c>
      <c r="F450">
        <v>5</v>
      </c>
      <c r="G450">
        <v>153</v>
      </c>
      <c r="H450" t="s">
        <v>20</v>
      </c>
      <c r="I450">
        <f t="shared" ref="I450:I501" si="7">F450*G450</f>
        <v>765</v>
      </c>
      <c r="J450">
        <f>Table1[[#This Row],[total_revenue]] * 0.25</f>
        <v>191.25</v>
      </c>
      <c r="K450" t="str">
        <f>IF(Table1[[#This Row],[unit_price]]&gt;=500,"High",IF(Table1[[#This Row],[unit_price]]&gt;100,"Medium","Low"))</f>
        <v>Medium</v>
      </c>
    </row>
    <row r="451" spans="1:11" x14ac:dyDescent="0.45">
      <c r="A451">
        <v>3450</v>
      </c>
      <c r="B451" t="s">
        <v>151</v>
      </c>
      <c r="C451" t="s">
        <v>19</v>
      </c>
      <c r="D451" t="s">
        <v>36</v>
      </c>
      <c r="E451" t="s">
        <v>12</v>
      </c>
      <c r="F451">
        <v>6</v>
      </c>
      <c r="G451">
        <v>124</v>
      </c>
      <c r="H451" t="s">
        <v>13</v>
      </c>
      <c r="I451">
        <f t="shared" si="7"/>
        <v>744</v>
      </c>
      <c r="J451">
        <f>Table1[[#This Row],[total_revenue]] * 0.25</f>
        <v>186</v>
      </c>
      <c r="K451" t="str">
        <f>IF(Table1[[#This Row],[unit_price]]&gt;=500,"High",IF(Table1[[#This Row],[unit_price]]&gt;100,"Medium","Low"))</f>
        <v>Medium</v>
      </c>
    </row>
    <row r="452" spans="1:11" x14ac:dyDescent="0.45">
      <c r="A452">
        <v>3451</v>
      </c>
      <c r="B452" t="s">
        <v>70</v>
      </c>
      <c r="C452" t="s">
        <v>24</v>
      </c>
      <c r="D452" t="s">
        <v>36</v>
      </c>
      <c r="E452" t="s">
        <v>12</v>
      </c>
      <c r="F452">
        <v>1</v>
      </c>
      <c r="G452">
        <v>109</v>
      </c>
      <c r="H452" t="s">
        <v>25</v>
      </c>
      <c r="I452">
        <f t="shared" si="7"/>
        <v>109</v>
      </c>
      <c r="J452">
        <f>Table1[[#This Row],[total_revenue]] * 0.25</f>
        <v>27.25</v>
      </c>
      <c r="K452" t="str">
        <f>IF(Table1[[#This Row],[unit_price]]&gt;=500,"High",IF(Table1[[#This Row],[unit_price]]&gt;100,"Medium","Low"))</f>
        <v>Medium</v>
      </c>
    </row>
    <row r="453" spans="1:11" x14ac:dyDescent="0.45">
      <c r="A453">
        <v>3452</v>
      </c>
      <c r="B453" t="s">
        <v>79</v>
      </c>
      <c r="C453" t="s">
        <v>52</v>
      </c>
      <c r="D453" t="s">
        <v>65</v>
      </c>
      <c r="E453" t="s">
        <v>17</v>
      </c>
      <c r="F453">
        <v>3</v>
      </c>
      <c r="G453">
        <v>56</v>
      </c>
      <c r="H453" t="s">
        <v>25</v>
      </c>
      <c r="I453">
        <f t="shared" si="7"/>
        <v>168</v>
      </c>
      <c r="J453">
        <f>Table1[[#This Row],[total_revenue]] * 0.25</f>
        <v>42</v>
      </c>
      <c r="K453" t="str">
        <f>IF(Table1[[#This Row],[unit_price]]&gt;=500,"High",IF(Table1[[#This Row],[unit_price]]&gt;100,"Medium","Low"))</f>
        <v>Low</v>
      </c>
    </row>
    <row r="454" spans="1:11" x14ac:dyDescent="0.45">
      <c r="A454">
        <v>3453</v>
      </c>
      <c r="B454" t="s">
        <v>176</v>
      </c>
      <c r="C454" t="s">
        <v>59</v>
      </c>
      <c r="D454" t="s">
        <v>22</v>
      </c>
      <c r="E454" t="s">
        <v>17</v>
      </c>
      <c r="F454">
        <v>2</v>
      </c>
      <c r="G454">
        <v>15</v>
      </c>
      <c r="H454" t="s">
        <v>20</v>
      </c>
      <c r="I454">
        <f t="shared" si="7"/>
        <v>30</v>
      </c>
      <c r="J454">
        <f>Table1[[#This Row],[total_revenue]] * 0.25</f>
        <v>7.5</v>
      </c>
      <c r="K454" t="str">
        <f>IF(Table1[[#This Row],[unit_price]]&gt;=500,"High",IF(Table1[[#This Row],[unit_price]]&gt;100,"Medium","Low"))</f>
        <v>Low</v>
      </c>
    </row>
    <row r="455" spans="1:11" x14ac:dyDescent="0.45">
      <c r="A455">
        <v>3454</v>
      </c>
      <c r="B455" t="s">
        <v>29</v>
      </c>
      <c r="C455" t="s">
        <v>35</v>
      </c>
      <c r="D455" t="s">
        <v>65</v>
      </c>
      <c r="E455" t="s">
        <v>17</v>
      </c>
      <c r="F455">
        <v>6</v>
      </c>
      <c r="G455">
        <v>53</v>
      </c>
      <c r="H455" t="s">
        <v>13</v>
      </c>
      <c r="I455">
        <f t="shared" si="7"/>
        <v>318</v>
      </c>
      <c r="J455">
        <f>Table1[[#This Row],[total_revenue]] * 0.25</f>
        <v>79.5</v>
      </c>
      <c r="K455" t="str">
        <f>IF(Table1[[#This Row],[unit_price]]&gt;=500,"High",IF(Table1[[#This Row],[unit_price]]&gt;100,"Medium","Low"))</f>
        <v>Low</v>
      </c>
    </row>
    <row r="456" spans="1:11" x14ac:dyDescent="0.45">
      <c r="A456">
        <v>3455</v>
      </c>
      <c r="B456" t="s">
        <v>80</v>
      </c>
      <c r="C456" t="s">
        <v>32</v>
      </c>
      <c r="D456" t="s">
        <v>65</v>
      </c>
      <c r="E456" t="s">
        <v>17</v>
      </c>
      <c r="F456">
        <v>6</v>
      </c>
      <c r="G456">
        <v>75</v>
      </c>
      <c r="H456" t="s">
        <v>25</v>
      </c>
      <c r="I456">
        <f t="shared" si="7"/>
        <v>450</v>
      </c>
      <c r="J456">
        <f>Table1[[#This Row],[total_revenue]] * 0.25</f>
        <v>112.5</v>
      </c>
      <c r="K456" t="str">
        <f>IF(Table1[[#This Row],[unit_price]]&gt;=500,"High",IF(Table1[[#This Row],[unit_price]]&gt;100,"Medium","Low"))</f>
        <v>Low</v>
      </c>
    </row>
    <row r="457" spans="1:11" x14ac:dyDescent="0.45">
      <c r="A457">
        <v>3456</v>
      </c>
      <c r="B457" t="s">
        <v>123</v>
      </c>
      <c r="C457" t="s">
        <v>32</v>
      </c>
      <c r="D457" t="s">
        <v>22</v>
      </c>
      <c r="E457" t="s">
        <v>17</v>
      </c>
      <c r="F457">
        <v>2</v>
      </c>
      <c r="G457">
        <v>60</v>
      </c>
      <c r="H457" t="s">
        <v>25</v>
      </c>
      <c r="I457">
        <f t="shared" si="7"/>
        <v>120</v>
      </c>
      <c r="J457">
        <f>Table1[[#This Row],[total_revenue]] * 0.25</f>
        <v>30</v>
      </c>
      <c r="K457" t="str">
        <f>IF(Table1[[#This Row],[unit_price]]&gt;=500,"High",IF(Table1[[#This Row],[unit_price]]&gt;100,"Medium","Low"))</f>
        <v>Low</v>
      </c>
    </row>
    <row r="458" spans="1:11" x14ac:dyDescent="0.45">
      <c r="A458">
        <v>3457</v>
      </c>
      <c r="B458" t="s">
        <v>196</v>
      </c>
      <c r="C458" t="s">
        <v>61</v>
      </c>
      <c r="D458" t="s">
        <v>28</v>
      </c>
      <c r="E458" t="s">
        <v>17</v>
      </c>
      <c r="F458">
        <v>1</v>
      </c>
      <c r="G458">
        <v>-16</v>
      </c>
      <c r="H458" t="s">
        <v>20</v>
      </c>
      <c r="I458">
        <f t="shared" si="7"/>
        <v>-16</v>
      </c>
      <c r="J458">
        <f>Table1[[#This Row],[total_revenue]] * 0.25</f>
        <v>-4</v>
      </c>
      <c r="K458" t="str">
        <f>IF(Table1[[#This Row],[unit_price]]&gt;=500,"High",IF(Table1[[#This Row],[unit_price]]&gt;100,"Medium","Low"))</f>
        <v>Low</v>
      </c>
    </row>
    <row r="459" spans="1:11" x14ac:dyDescent="0.45">
      <c r="A459">
        <v>3458</v>
      </c>
      <c r="B459" t="s">
        <v>63</v>
      </c>
      <c r="C459" t="s">
        <v>15</v>
      </c>
      <c r="D459" t="s">
        <v>56</v>
      </c>
      <c r="E459" t="s">
        <v>17</v>
      </c>
      <c r="F459">
        <v>3</v>
      </c>
      <c r="G459">
        <v>867</v>
      </c>
      <c r="H459" t="s">
        <v>13</v>
      </c>
      <c r="I459">
        <f t="shared" si="7"/>
        <v>2601</v>
      </c>
      <c r="J459">
        <f>Table1[[#This Row],[total_revenue]] * 0.25</f>
        <v>650.25</v>
      </c>
      <c r="K459" t="str">
        <f>IF(Table1[[#This Row],[unit_price]]&gt;=500,"High",IF(Table1[[#This Row],[unit_price]]&gt;100,"Medium","Low"))</f>
        <v>High</v>
      </c>
    </row>
    <row r="460" spans="1:11" x14ac:dyDescent="0.45">
      <c r="A460">
        <v>3459</v>
      </c>
      <c r="B460" t="s">
        <v>177</v>
      </c>
      <c r="C460" t="s">
        <v>24</v>
      </c>
      <c r="D460" t="s">
        <v>38</v>
      </c>
      <c r="E460" t="s">
        <v>17</v>
      </c>
      <c r="F460">
        <v>3</v>
      </c>
      <c r="G460">
        <v>159</v>
      </c>
      <c r="H460" t="s">
        <v>20</v>
      </c>
      <c r="I460">
        <f t="shared" si="7"/>
        <v>477</v>
      </c>
      <c r="J460">
        <f>Table1[[#This Row],[total_revenue]] * 0.25</f>
        <v>119.25</v>
      </c>
      <c r="K460" t="str">
        <f>IF(Table1[[#This Row],[unit_price]]&gt;=500,"High",IF(Table1[[#This Row],[unit_price]]&gt;100,"Medium","Low"))</f>
        <v>Medium</v>
      </c>
    </row>
    <row r="461" spans="1:11" x14ac:dyDescent="0.45">
      <c r="A461">
        <v>3460</v>
      </c>
      <c r="B461" t="s">
        <v>51</v>
      </c>
      <c r="C461" t="s">
        <v>15</v>
      </c>
      <c r="D461" t="s">
        <v>38</v>
      </c>
      <c r="E461" t="s">
        <v>17</v>
      </c>
      <c r="F461">
        <v>5</v>
      </c>
      <c r="G461">
        <v>162</v>
      </c>
      <c r="H461" t="s">
        <v>20</v>
      </c>
      <c r="I461">
        <f t="shared" si="7"/>
        <v>810</v>
      </c>
      <c r="J461">
        <f>Table1[[#This Row],[total_revenue]] * 0.25</f>
        <v>202.5</v>
      </c>
      <c r="K461" t="str">
        <f>IF(Table1[[#This Row],[unit_price]]&gt;=500,"High",IF(Table1[[#This Row],[unit_price]]&gt;100,"Medium","Low"))</f>
        <v>Medium</v>
      </c>
    </row>
    <row r="462" spans="1:11" x14ac:dyDescent="0.45">
      <c r="A462">
        <v>3461</v>
      </c>
      <c r="B462" t="s">
        <v>142</v>
      </c>
      <c r="C462" t="s">
        <v>10</v>
      </c>
      <c r="D462" t="s">
        <v>38</v>
      </c>
      <c r="E462" t="s">
        <v>17</v>
      </c>
      <c r="F462">
        <v>6</v>
      </c>
      <c r="G462">
        <v>154</v>
      </c>
      <c r="H462" t="s">
        <v>13</v>
      </c>
      <c r="I462">
        <f t="shared" si="7"/>
        <v>924</v>
      </c>
      <c r="J462">
        <f>Table1[[#This Row],[total_revenue]] * 0.25</f>
        <v>231</v>
      </c>
      <c r="K462" t="str">
        <f>IF(Table1[[#This Row],[unit_price]]&gt;=500,"High",IF(Table1[[#This Row],[unit_price]]&gt;100,"Medium","Low"))</f>
        <v>Medium</v>
      </c>
    </row>
    <row r="463" spans="1:11" x14ac:dyDescent="0.45">
      <c r="A463">
        <v>3462</v>
      </c>
      <c r="B463" t="s">
        <v>152</v>
      </c>
      <c r="C463" t="s">
        <v>43</v>
      </c>
      <c r="D463" t="s">
        <v>22</v>
      </c>
      <c r="E463" t="s">
        <v>17</v>
      </c>
      <c r="F463">
        <v>6</v>
      </c>
      <c r="G463">
        <v>72</v>
      </c>
      <c r="H463" t="s">
        <v>20</v>
      </c>
      <c r="I463">
        <f t="shared" si="7"/>
        <v>432</v>
      </c>
      <c r="J463">
        <f>Table1[[#This Row],[total_revenue]] * 0.25</f>
        <v>108</v>
      </c>
      <c r="K463" t="str">
        <f>IF(Table1[[#This Row],[unit_price]]&gt;=500,"High",IF(Table1[[#This Row],[unit_price]]&gt;100,"Medium","Low"))</f>
        <v>Low</v>
      </c>
    </row>
    <row r="464" spans="1:11" x14ac:dyDescent="0.45">
      <c r="A464">
        <v>3463</v>
      </c>
      <c r="B464" t="s">
        <v>55</v>
      </c>
      <c r="C464" t="s">
        <v>27</v>
      </c>
      <c r="D464" t="s">
        <v>41</v>
      </c>
      <c r="E464" t="s">
        <v>12</v>
      </c>
      <c r="F464">
        <v>6</v>
      </c>
      <c r="G464">
        <v>308</v>
      </c>
      <c r="H464" t="s">
        <v>13</v>
      </c>
      <c r="I464">
        <f t="shared" si="7"/>
        <v>1848</v>
      </c>
      <c r="J464">
        <f>Table1[[#This Row],[total_revenue]] * 0.25</f>
        <v>462</v>
      </c>
      <c r="K464" t="str">
        <f>IF(Table1[[#This Row],[unit_price]]&gt;=500,"High",IF(Table1[[#This Row],[unit_price]]&gt;100,"Medium","Low"))</f>
        <v>Medium</v>
      </c>
    </row>
    <row r="465" spans="1:11" x14ac:dyDescent="0.45">
      <c r="A465">
        <v>3464</v>
      </c>
      <c r="B465" t="s">
        <v>165</v>
      </c>
      <c r="C465" t="s">
        <v>35</v>
      </c>
      <c r="D465" t="s">
        <v>38</v>
      </c>
      <c r="E465" t="s">
        <v>17</v>
      </c>
      <c r="F465">
        <v>4</v>
      </c>
      <c r="G465">
        <v>210</v>
      </c>
      <c r="H465" t="s">
        <v>20</v>
      </c>
      <c r="I465">
        <f t="shared" si="7"/>
        <v>840</v>
      </c>
      <c r="J465">
        <f>Table1[[#This Row],[total_revenue]] * 0.25</f>
        <v>210</v>
      </c>
      <c r="K465" t="str">
        <f>IF(Table1[[#This Row],[unit_price]]&gt;=500,"High",IF(Table1[[#This Row],[unit_price]]&gt;100,"Medium","Low"))</f>
        <v>Medium</v>
      </c>
    </row>
    <row r="466" spans="1:11" x14ac:dyDescent="0.45">
      <c r="A466">
        <v>3465</v>
      </c>
      <c r="B466" t="s">
        <v>133</v>
      </c>
      <c r="C466" t="s">
        <v>43</v>
      </c>
      <c r="D466" t="s">
        <v>16</v>
      </c>
      <c r="E466" t="s">
        <v>17</v>
      </c>
      <c r="F466">
        <v>6</v>
      </c>
      <c r="G466">
        <v>487</v>
      </c>
      <c r="H466" t="s">
        <v>25</v>
      </c>
      <c r="I466">
        <f t="shared" si="7"/>
        <v>2922</v>
      </c>
      <c r="J466">
        <f>Table1[[#This Row],[total_revenue]] * 0.25</f>
        <v>730.5</v>
      </c>
      <c r="K466" t="str">
        <f>IF(Table1[[#This Row],[unit_price]]&gt;=500,"High",IF(Table1[[#This Row],[unit_price]]&gt;100,"Medium","Low"))</f>
        <v>Medium</v>
      </c>
    </row>
    <row r="467" spans="1:11" x14ac:dyDescent="0.45">
      <c r="A467">
        <v>3466</v>
      </c>
      <c r="B467" t="s">
        <v>63</v>
      </c>
      <c r="C467" t="s">
        <v>32</v>
      </c>
      <c r="D467" t="s">
        <v>38</v>
      </c>
      <c r="E467" t="s">
        <v>17</v>
      </c>
      <c r="F467">
        <v>6</v>
      </c>
      <c r="G467">
        <v>197</v>
      </c>
      <c r="H467" t="s">
        <v>25</v>
      </c>
      <c r="I467">
        <f t="shared" si="7"/>
        <v>1182</v>
      </c>
      <c r="J467">
        <f>Table1[[#This Row],[total_revenue]] * 0.25</f>
        <v>295.5</v>
      </c>
      <c r="K467" t="str">
        <f>IF(Table1[[#This Row],[unit_price]]&gt;=500,"High",IF(Table1[[#This Row],[unit_price]]&gt;100,"Medium","Low"))</f>
        <v>Medium</v>
      </c>
    </row>
    <row r="468" spans="1:11" x14ac:dyDescent="0.45">
      <c r="A468">
        <v>3467</v>
      </c>
      <c r="B468" t="s">
        <v>67</v>
      </c>
      <c r="C468" t="s">
        <v>10</v>
      </c>
      <c r="D468" t="s">
        <v>65</v>
      </c>
      <c r="E468" t="s">
        <v>17</v>
      </c>
      <c r="F468">
        <v>2</v>
      </c>
      <c r="G468">
        <v>107</v>
      </c>
      <c r="H468" t="s">
        <v>25</v>
      </c>
      <c r="I468">
        <f t="shared" si="7"/>
        <v>214</v>
      </c>
      <c r="J468">
        <f>Table1[[#This Row],[total_revenue]] * 0.25</f>
        <v>53.5</v>
      </c>
      <c r="K468" t="str">
        <f>IF(Table1[[#This Row],[unit_price]]&gt;=500,"High",IF(Table1[[#This Row],[unit_price]]&gt;100,"Medium","Low"))</f>
        <v>Medium</v>
      </c>
    </row>
    <row r="469" spans="1:11" x14ac:dyDescent="0.45">
      <c r="A469">
        <v>3468</v>
      </c>
      <c r="B469" t="s">
        <v>21</v>
      </c>
      <c r="C469" t="s">
        <v>30</v>
      </c>
      <c r="D469" t="s">
        <v>22</v>
      </c>
      <c r="E469" t="s">
        <v>17</v>
      </c>
      <c r="F469">
        <v>4</v>
      </c>
      <c r="G469">
        <v>23</v>
      </c>
      <c r="H469" t="s">
        <v>20</v>
      </c>
      <c r="I469">
        <f t="shared" si="7"/>
        <v>92</v>
      </c>
      <c r="J469">
        <f>Table1[[#This Row],[total_revenue]] * 0.25</f>
        <v>23</v>
      </c>
      <c r="K469" t="str">
        <f>IF(Table1[[#This Row],[unit_price]]&gt;=500,"High",IF(Table1[[#This Row],[unit_price]]&gt;100,"Medium","Low"))</f>
        <v>Low</v>
      </c>
    </row>
    <row r="470" spans="1:11" x14ac:dyDescent="0.45">
      <c r="A470">
        <v>3469</v>
      </c>
      <c r="B470" t="s">
        <v>192</v>
      </c>
      <c r="C470" t="s">
        <v>24</v>
      </c>
      <c r="D470" t="s">
        <v>36</v>
      </c>
      <c r="E470" t="s">
        <v>12</v>
      </c>
      <c r="F470">
        <v>3</v>
      </c>
      <c r="G470">
        <v>113</v>
      </c>
      <c r="H470" t="s">
        <v>25</v>
      </c>
      <c r="I470">
        <f t="shared" si="7"/>
        <v>339</v>
      </c>
      <c r="J470">
        <f>Table1[[#This Row],[total_revenue]] * 0.25</f>
        <v>84.75</v>
      </c>
      <c r="K470" t="str">
        <f>IF(Table1[[#This Row],[unit_price]]&gt;=500,"High",IF(Table1[[#This Row],[unit_price]]&gt;100,"Medium","Low"))</f>
        <v>Medium</v>
      </c>
    </row>
    <row r="471" spans="1:11" x14ac:dyDescent="0.45">
      <c r="A471">
        <v>3470</v>
      </c>
      <c r="B471" t="s">
        <v>98</v>
      </c>
      <c r="C471" t="s">
        <v>15</v>
      </c>
      <c r="D471" t="s">
        <v>16</v>
      </c>
      <c r="E471" t="s">
        <v>17</v>
      </c>
      <c r="F471">
        <v>3</v>
      </c>
      <c r="G471">
        <v>494</v>
      </c>
      <c r="H471" t="s">
        <v>13</v>
      </c>
      <c r="I471">
        <f t="shared" si="7"/>
        <v>1482</v>
      </c>
      <c r="J471">
        <f>Table1[[#This Row],[total_revenue]] * 0.25</f>
        <v>370.5</v>
      </c>
      <c r="K471" t="str">
        <f>IF(Table1[[#This Row],[unit_price]]&gt;=500,"High",IF(Table1[[#This Row],[unit_price]]&gt;100,"Medium","Low"))</f>
        <v>Medium</v>
      </c>
    </row>
    <row r="472" spans="1:11" x14ac:dyDescent="0.45">
      <c r="A472">
        <v>3471</v>
      </c>
      <c r="B472" t="s">
        <v>49</v>
      </c>
      <c r="C472" t="s">
        <v>52</v>
      </c>
      <c r="D472" t="s">
        <v>56</v>
      </c>
      <c r="E472" t="s">
        <v>17</v>
      </c>
      <c r="F472">
        <v>2</v>
      </c>
      <c r="G472">
        <v>858</v>
      </c>
      <c r="H472" t="s">
        <v>13</v>
      </c>
      <c r="I472">
        <f t="shared" si="7"/>
        <v>1716</v>
      </c>
      <c r="J472">
        <f>Table1[[#This Row],[total_revenue]] * 0.25</f>
        <v>429</v>
      </c>
      <c r="K472" t="str">
        <f>IF(Table1[[#This Row],[unit_price]]&gt;=500,"High",IF(Table1[[#This Row],[unit_price]]&gt;100,"Medium","Low"))</f>
        <v>High</v>
      </c>
    </row>
    <row r="473" spans="1:11" x14ac:dyDescent="0.45">
      <c r="A473">
        <v>3472</v>
      </c>
      <c r="B473" t="s">
        <v>47</v>
      </c>
      <c r="C473" t="s">
        <v>32</v>
      </c>
      <c r="D473" t="s">
        <v>28</v>
      </c>
      <c r="E473" t="s">
        <v>17</v>
      </c>
      <c r="F473">
        <v>5</v>
      </c>
      <c r="G473">
        <v>-20</v>
      </c>
      <c r="H473" t="s">
        <v>13</v>
      </c>
      <c r="I473">
        <f t="shared" si="7"/>
        <v>-100</v>
      </c>
      <c r="J473">
        <f>Table1[[#This Row],[total_revenue]] * 0.25</f>
        <v>-25</v>
      </c>
      <c r="K473" t="str">
        <f>IF(Table1[[#This Row],[unit_price]]&gt;=500,"High",IF(Table1[[#This Row],[unit_price]]&gt;100,"Medium","Low"))</f>
        <v>Low</v>
      </c>
    </row>
    <row r="474" spans="1:11" x14ac:dyDescent="0.45">
      <c r="A474">
        <v>3473</v>
      </c>
      <c r="B474" t="s">
        <v>49</v>
      </c>
      <c r="C474" t="s">
        <v>19</v>
      </c>
      <c r="D474" t="s">
        <v>16</v>
      </c>
      <c r="E474" t="s">
        <v>17</v>
      </c>
      <c r="F474">
        <v>3</v>
      </c>
      <c r="G474">
        <v>452</v>
      </c>
      <c r="H474" t="s">
        <v>20</v>
      </c>
      <c r="I474">
        <f t="shared" si="7"/>
        <v>1356</v>
      </c>
      <c r="J474">
        <f>Table1[[#This Row],[total_revenue]] * 0.25</f>
        <v>339</v>
      </c>
      <c r="K474" t="str">
        <f>IF(Table1[[#This Row],[unit_price]]&gt;=500,"High",IF(Table1[[#This Row],[unit_price]]&gt;100,"Medium","Low"))</f>
        <v>Medium</v>
      </c>
    </row>
    <row r="475" spans="1:11" x14ac:dyDescent="0.45">
      <c r="A475">
        <v>3474</v>
      </c>
      <c r="B475" t="s">
        <v>159</v>
      </c>
      <c r="C475" t="s">
        <v>43</v>
      </c>
      <c r="D475" t="s">
        <v>11</v>
      </c>
      <c r="E475" t="s">
        <v>12</v>
      </c>
      <c r="F475">
        <v>6</v>
      </c>
      <c r="G475">
        <v>371</v>
      </c>
      <c r="H475" t="s">
        <v>25</v>
      </c>
      <c r="I475">
        <f t="shared" si="7"/>
        <v>2226</v>
      </c>
      <c r="J475">
        <f>Table1[[#This Row],[total_revenue]] * 0.25</f>
        <v>556.5</v>
      </c>
      <c r="K475" t="str">
        <f>IF(Table1[[#This Row],[unit_price]]&gt;=500,"High",IF(Table1[[#This Row],[unit_price]]&gt;100,"Medium","Low"))</f>
        <v>Medium</v>
      </c>
    </row>
    <row r="476" spans="1:11" x14ac:dyDescent="0.45">
      <c r="A476">
        <v>3475</v>
      </c>
      <c r="B476" t="s">
        <v>197</v>
      </c>
      <c r="C476" t="s">
        <v>19</v>
      </c>
      <c r="D476" t="s">
        <v>16</v>
      </c>
      <c r="E476" t="s">
        <v>17</v>
      </c>
      <c r="F476">
        <v>1</v>
      </c>
      <c r="G476">
        <v>415</v>
      </c>
      <c r="H476" t="s">
        <v>13</v>
      </c>
      <c r="I476">
        <f t="shared" si="7"/>
        <v>415</v>
      </c>
      <c r="J476">
        <f>Table1[[#This Row],[total_revenue]] * 0.25</f>
        <v>103.75</v>
      </c>
      <c r="K476" t="str">
        <f>IF(Table1[[#This Row],[unit_price]]&gt;=500,"High",IF(Table1[[#This Row],[unit_price]]&gt;100,"Medium","Low"))</f>
        <v>Medium</v>
      </c>
    </row>
    <row r="477" spans="1:11" x14ac:dyDescent="0.45">
      <c r="A477">
        <v>3476</v>
      </c>
      <c r="B477" t="s">
        <v>127</v>
      </c>
      <c r="C477" t="s">
        <v>59</v>
      </c>
      <c r="D477" t="s">
        <v>36</v>
      </c>
      <c r="E477" t="s">
        <v>12</v>
      </c>
      <c r="F477">
        <v>1</v>
      </c>
      <c r="G477">
        <v>53</v>
      </c>
      <c r="H477" t="s">
        <v>25</v>
      </c>
      <c r="I477">
        <f t="shared" si="7"/>
        <v>53</v>
      </c>
      <c r="J477">
        <f>Table1[[#This Row],[total_revenue]] * 0.25</f>
        <v>13.25</v>
      </c>
      <c r="K477" t="str">
        <f>IF(Table1[[#This Row],[unit_price]]&gt;=500,"High",IF(Table1[[#This Row],[unit_price]]&gt;100,"Medium","Low"))</f>
        <v>Low</v>
      </c>
    </row>
    <row r="478" spans="1:11" x14ac:dyDescent="0.45">
      <c r="A478">
        <v>3477</v>
      </c>
      <c r="B478" t="s">
        <v>75</v>
      </c>
      <c r="C478" t="s">
        <v>35</v>
      </c>
      <c r="D478" t="s">
        <v>65</v>
      </c>
      <c r="E478" t="s">
        <v>17</v>
      </c>
      <c r="F478">
        <v>1</v>
      </c>
      <c r="G478">
        <v>105</v>
      </c>
      <c r="H478" t="s">
        <v>25</v>
      </c>
      <c r="I478">
        <f t="shared" si="7"/>
        <v>105</v>
      </c>
      <c r="J478">
        <f>Table1[[#This Row],[total_revenue]] * 0.25</f>
        <v>26.25</v>
      </c>
      <c r="K478" t="str">
        <f>IF(Table1[[#This Row],[unit_price]]&gt;=500,"High",IF(Table1[[#This Row],[unit_price]]&gt;100,"Medium","Low"))</f>
        <v>Medium</v>
      </c>
    </row>
    <row r="479" spans="1:11" x14ac:dyDescent="0.45">
      <c r="A479">
        <v>3478</v>
      </c>
      <c r="B479" t="s">
        <v>62</v>
      </c>
      <c r="C479" t="s">
        <v>27</v>
      </c>
      <c r="D479" t="s">
        <v>36</v>
      </c>
      <c r="E479" t="s">
        <v>12</v>
      </c>
      <c r="F479">
        <v>4</v>
      </c>
      <c r="G479">
        <v>145</v>
      </c>
      <c r="H479" t="s">
        <v>20</v>
      </c>
      <c r="I479">
        <f t="shared" si="7"/>
        <v>580</v>
      </c>
      <c r="J479">
        <f>Table1[[#This Row],[total_revenue]] * 0.25</f>
        <v>145</v>
      </c>
      <c r="K479" t="str">
        <f>IF(Table1[[#This Row],[unit_price]]&gt;=500,"High",IF(Table1[[#This Row],[unit_price]]&gt;100,"Medium","Low"))</f>
        <v>Medium</v>
      </c>
    </row>
    <row r="480" spans="1:11" x14ac:dyDescent="0.45">
      <c r="A480">
        <v>3479</v>
      </c>
      <c r="B480" t="s">
        <v>132</v>
      </c>
      <c r="C480" t="s">
        <v>35</v>
      </c>
      <c r="D480" t="s">
        <v>36</v>
      </c>
      <c r="E480" t="s">
        <v>12</v>
      </c>
      <c r="F480">
        <v>5</v>
      </c>
      <c r="G480">
        <v>71</v>
      </c>
      <c r="H480" t="s">
        <v>20</v>
      </c>
      <c r="I480">
        <f t="shared" si="7"/>
        <v>355</v>
      </c>
      <c r="J480">
        <f>Table1[[#This Row],[total_revenue]] * 0.25</f>
        <v>88.75</v>
      </c>
      <c r="K480" t="str">
        <f>IF(Table1[[#This Row],[unit_price]]&gt;=500,"High",IF(Table1[[#This Row],[unit_price]]&gt;100,"Medium","Low"))</f>
        <v>Low</v>
      </c>
    </row>
    <row r="481" spans="1:11" x14ac:dyDescent="0.45">
      <c r="A481">
        <v>3480</v>
      </c>
      <c r="B481" t="s">
        <v>161</v>
      </c>
      <c r="C481" t="s">
        <v>61</v>
      </c>
      <c r="D481" t="s">
        <v>22</v>
      </c>
      <c r="E481" t="s">
        <v>17</v>
      </c>
      <c r="F481">
        <v>2</v>
      </c>
      <c r="G481">
        <v>5</v>
      </c>
      <c r="H481" t="s">
        <v>13</v>
      </c>
      <c r="I481">
        <f t="shared" si="7"/>
        <v>10</v>
      </c>
      <c r="J481">
        <f>Table1[[#This Row],[total_revenue]] * 0.25</f>
        <v>2.5</v>
      </c>
      <c r="K481" t="str">
        <f>IF(Table1[[#This Row],[unit_price]]&gt;=500,"High",IF(Table1[[#This Row],[unit_price]]&gt;100,"Medium","Low"))</f>
        <v>Low</v>
      </c>
    </row>
    <row r="482" spans="1:11" x14ac:dyDescent="0.45">
      <c r="A482">
        <v>3481</v>
      </c>
      <c r="B482" t="s">
        <v>68</v>
      </c>
      <c r="C482" t="s">
        <v>32</v>
      </c>
      <c r="D482" t="s">
        <v>56</v>
      </c>
      <c r="E482" t="s">
        <v>17</v>
      </c>
      <c r="F482">
        <v>6</v>
      </c>
      <c r="G482">
        <v>911</v>
      </c>
      <c r="H482" t="s">
        <v>25</v>
      </c>
      <c r="I482">
        <f t="shared" si="7"/>
        <v>5466</v>
      </c>
      <c r="J482">
        <f>Table1[[#This Row],[total_revenue]] * 0.25</f>
        <v>1366.5</v>
      </c>
      <c r="K482" t="str">
        <f>IF(Table1[[#This Row],[unit_price]]&gt;=500,"High",IF(Table1[[#This Row],[unit_price]]&gt;100,"Medium","Low"))</f>
        <v>High</v>
      </c>
    </row>
    <row r="483" spans="1:11" x14ac:dyDescent="0.45">
      <c r="A483">
        <v>3482</v>
      </c>
      <c r="B483" t="s">
        <v>198</v>
      </c>
      <c r="C483" t="s">
        <v>30</v>
      </c>
      <c r="D483" t="s">
        <v>65</v>
      </c>
      <c r="E483" t="s">
        <v>17</v>
      </c>
      <c r="F483">
        <v>6</v>
      </c>
      <c r="G483">
        <v>68</v>
      </c>
      <c r="H483" t="s">
        <v>20</v>
      </c>
      <c r="I483">
        <f t="shared" si="7"/>
        <v>408</v>
      </c>
      <c r="J483">
        <f>Table1[[#This Row],[total_revenue]] * 0.25</f>
        <v>102</v>
      </c>
      <c r="K483" t="str">
        <f>IF(Table1[[#This Row],[unit_price]]&gt;=500,"High",IF(Table1[[#This Row],[unit_price]]&gt;100,"Medium","Low"))</f>
        <v>Low</v>
      </c>
    </row>
    <row r="484" spans="1:11" x14ac:dyDescent="0.45">
      <c r="A484">
        <v>3483</v>
      </c>
      <c r="B484" t="s">
        <v>31</v>
      </c>
      <c r="C484" t="s">
        <v>35</v>
      </c>
      <c r="D484" t="s">
        <v>65</v>
      </c>
      <c r="E484" t="s">
        <v>17</v>
      </c>
      <c r="F484">
        <v>5</v>
      </c>
      <c r="G484">
        <v>50</v>
      </c>
      <c r="H484" t="s">
        <v>20</v>
      </c>
      <c r="I484">
        <f t="shared" si="7"/>
        <v>250</v>
      </c>
      <c r="J484">
        <f>Table1[[#This Row],[total_revenue]] * 0.25</f>
        <v>62.5</v>
      </c>
      <c r="K484" t="str">
        <f>IF(Table1[[#This Row],[unit_price]]&gt;=500,"High",IF(Table1[[#This Row],[unit_price]]&gt;100,"Medium","Low"))</f>
        <v>Low</v>
      </c>
    </row>
    <row r="485" spans="1:11" x14ac:dyDescent="0.45">
      <c r="A485">
        <v>3484</v>
      </c>
      <c r="B485" t="s">
        <v>199</v>
      </c>
      <c r="C485" t="s">
        <v>59</v>
      </c>
      <c r="D485" t="s">
        <v>11</v>
      </c>
      <c r="E485" t="s">
        <v>12</v>
      </c>
      <c r="F485">
        <v>6</v>
      </c>
      <c r="G485">
        <v>358</v>
      </c>
      <c r="H485" t="s">
        <v>25</v>
      </c>
      <c r="I485">
        <f t="shared" si="7"/>
        <v>2148</v>
      </c>
      <c r="J485">
        <f>Table1[[#This Row],[total_revenue]] * 0.25</f>
        <v>537</v>
      </c>
      <c r="K485" t="str">
        <f>IF(Table1[[#This Row],[unit_price]]&gt;=500,"High",IF(Table1[[#This Row],[unit_price]]&gt;100,"Medium","Low"))</f>
        <v>Medium</v>
      </c>
    </row>
    <row r="486" spans="1:11" x14ac:dyDescent="0.45">
      <c r="A486">
        <v>3485</v>
      </c>
      <c r="B486" t="s">
        <v>92</v>
      </c>
      <c r="C486" t="s">
        <v>32</v>
      </c>
      <c r="D486" t="s">
        <v>36</v>
      </c>
      <c r="E486" t="s">
        <v>12</v>
      </c>
      <c r="F486">
        <v>4</v>
      </c>
      <c r="G486">
        <v>90</v>
      </c>
      <c r="H486" t="s">
        <v>20</v>
      </c>
      <c r="I486">
        <f t="shared" si="7"/>
        <v>360</v>
      </c>
      <c r="J486">
        <f>Table1[[#This Row],[total_revenue]] * 0.25</f>
        <v>90</v>
      </c>
      <c r="K486" t="str">
        <f>IF(Table1[[#This Row],[unit_price]]&gt;=500,"High",IF(Table1[[#This Row],[unit_price]]&gt;100,"Medium","Low"))</f>
        <v>Low</v>
      </c>
    </row>
    <row r="487" spans="1:11" x14ac:dyDescent="0.45">
      <c r="A487">
        <v>3486</v>
      </c>
      <c r="B487" t="s">
        <v>200</v>
      </c>
      <c r="C487" t="s">
        <v>35</v>
      </c>
      <c r="D487" t="s">
        <v>16</v>
      </c>
      <c r="E487" t="s">
        <v>17</v>
      </c>
      <c r="F487">
        <v>1</v>
      </c>
      <c r="G487">
        <v>405</v>
      </c>
      <c r="H487" t="s">
        <v>20</v>
      </c>
      <c r="I487">
        <f t="shared" si="7"/>
        <v>405</v>
      </c>
      <c r="J487">
        <f>Table1[[#This Row],[total_revenue]] * 0.25</f>
        <v>101.25</v>
      </c>
      <c r="K487" t="str">
        <f>IF(Table1[[#This Row],[unit_price]]&gt;=500,"High",IF(Table1[[#This Row],[unit_price]]&gt;100,"Medium","Low"))</f>
        <v>Medium</v>
      </c>
    </row>
    <row r="488" spans="1:11" x14ac:dyDescent="0.45">
      <c r="A488">
        <v>3487</v>
      </c>
      <c r="B488" t="s">
        <v>182</v>
      </c>
      <c r="C488" t="s">
        <v>59</v>
      </c>
      <c r="D488" t="s">
        <v>16</v>
      </c>
      <c r="E488" t="s">
        <v>17</v>
      </c>
      <c r="F488">
        <v>4</v>
      </c>
      <c r="G488">
        <v>459</v>
      </c>
      <c r="H488" t="s">
        <v>25</v>
      </c>
      <c r="I488">
        <f t="shared" si="7"/>
        <v>1836</v>
      </c>
      <c r="J488">
        <f>Table1[[#This Row],[total_revenue]] * 0.25</f>
        <v>459</v>
      </c>
      <c r="K488" t="str">
        <f>IF(Table1[[#This Row],[unit_price]]&gt;=500,"High",IF(Table1[[#This Row],[unit_price]]&gt;100,"Medium","Low"))</f>
        <v>Medium</v>
      </c>
    </row>
    <row r="489" spans="1:11" x14ac:dyDescent="0.45">
      <c r="A489">
        <v>3488</v>
      </c>
      <c r="B489" t="s">
        <v>55</v>
      </c>
      <c r="C489" t="s">
        <v>19</v>
      </c>
      <c r="D489" t="s">
        <v>41</v>
      </c>
      <c r="E489" t="s">
        <v>12</v>
      </c>
      <c r="F489">
        <v>2</v>
      </c>
      <c r="G489">
        <v>296</v>
      </c>
      <c r="H489" t="s">
        <v>13</v>
      </c>
      <c r="I489">
        <f t="shared" si="7"/>
        <v>592</v>
      </c>
      <c r="J489">
        <f>Table1[[#This Row],[total_revenue]] * 0.25</f>
        <v>148</v>
      </c>
      <c r="K489" t="str">
        <f>IF(Table1[[#This Row],[unit_price]]&gt;=500,"High",IF(Table1[[#This Row],[unit_price]]&gt;100,"Medium","Low"))</f>
        <v>Medium</v>
      </c>
    </row>
    <row r="490" spans="1:11" x14ac:dyDescent="0.45">
      <c r="A490">
        <v>3489</v>
      </c>
      <c r="B490" t="s">
        <v>201</v>
      </c>
      <c r="C490" t="s">
        <v>59</v>
      </c>
      <c r="D490" t="s">
        <v>11</v>
      </c>
      <c r="E490" t="s">
        <v>12</v>
      </c>
      <c r="F490">
        <v>4</v>
      </c>
      <c r="G490">
        <v>355</v>
      </c>
      <c r="H490" t="s">
        <v>20</v>
      </c>
      <c r="I490">
        <f t="shared" si="7"/>
        <v>1420</v>
      </c>
      <c r="J490">
        <f>Table1[[#This Row],[total_revenue]] * 0.25</f>
        <v>355</v>
      </c>
      <c r="K490" t="str">
        <f>IF(Table1[[#This Row],[unit_price]]&gt;=500,"High",IF(Table1[[#This Row],[unit_price]]&gt;100,"Medium","Low"))</f>
        <v>Medium</v>
      </c>
    </row>
    <row r="491" spans="1:11" x14ac:dyDescent="0.45">
      <c r="A491">
        <v>3490</v>
      </c>
      <c r="B491" t="s">
        <v>106</v>
      </c>
      <c r="C491" t="s">
        <v>27</v>
      </c>
      <c r="D491" t="s">
        <v>56</v>
      </c>
      <c r="E491" t="s">
        <v>17</v>
      </c>
      <c r="F491">
        <v>1</v>
      </c>
      <c r="G491">
        <v>899</v>
      </c>
      <c r="H491" t="s">
        <v>13</v>
      </c>
      <c r="I491">
        <f t="shared" si="7"/>
        <v>899</v>
      </c>
      <c r="J491">
        <f>Table1[[#This Row],[total_revenue]] * 0.25</f>
        <v>224.75</v>
      </c>
      <c r="K491" t="str">
        <f>IF(Table1[[#This Row],[unit_price]]&gt;=500,"High",IF(Table1[[#This Row],[unit_price]]&gt;100,"Medium","Low"))</f>
        <v>High</v>
      </c>
    </row>
    <row r="492" spans="1:11" x14ac:dyDescent="0.45">
      <c r="A492">
        <v>3491</v>
      </c>
      <c r="B492" t="s">
        <v>121</v>
      </c>
      <c r="C492" t="s">
        <v>30</v>
      </c>
      <c r="D492" t="s">
        <v>16</v>
      </c>
      <c r="E492" t="s">
        <v>17</v>
      </c>
      <c r="F492">
        <v>1</v>
      </c>
      <c r="G492">
        <v>484</v>
      </c>
      <c r="H492" t="s">
        <v>25</v>
      </c>
      <c r="I492">
        <f t="shared" si="7"/>
        <v>484</v>
      </c>
      <c r="J492">
        <f>Table1[[#This Row],[total_revenue]] * 0.25</f>
        <v>121</v>
      </c>
      <c r="K492" t="str">
        <f>IF(Table1[[#This Row],[unit_price]]&gt;=500,"High",IF(Table1[[#This Row],[unit_price]]&gt;100,"Medium","Low"))</f>
        <v>Medium</v>
      </c>
    </row>
    <row r="493" spans="1:11" x14ac:dyDescent="0.45">
      <c r="A493">
        <v>3492</v>
      </c>
      <c r="B493" t="s">
        <v>79</v>
      </c>
      <c r="C493" t="s">
        <v>24</v>
      </c>
      <c r="D493" t="s">
        <v>36</v>
      </c>
      <c r="E493" t="s">
        <v>12</v>
      </c>
      <c r="F493">
        <v>2</v>
      </c>
      <c r="G493">
        <v>126</v>
      </c>
      <c r="H493" t="s">
        <v>13</v>
      </c>
      <c r="I493">
        <f t="shared" si="7"/>
        <v>252</v>
      </c>
      <c r="J493">
        <f>Table1[[#This Row],[total_revenue]] * 0.25</f>
        <v>63</v>
      </c>
      <c r="K493" t="str">
        <f>IF(Table1[[#This Row],[unit_price]]&gt;=500,"High",IF(Table1[[#This Row],[unit_price]]&gt;100,"Medium","Low"))</f>
        <v>Medium</v>
      </c>
    </row>
    <row r="494" spans="1:11" x14ac:dyDescent="0.45">
      <c r="A494">
        <v>3493</v>
      </c>
      <c r="B494" t="s">
        <v>39</v>
      </c>
      <c r="C494" t="s">
        <v>27</v>
      </c>
      <c r="D494" t="s">
        <v>22</v>
      </c>
      <c r="E494" t="s">
        <v>17</v>
      </c>
      <c r="F494">
        <v>2</v>
      </c>
      <c r="G494">
        <v>4</v>
      </c>
      <c r="H494" t="s">
        <v>13</v>
      </c>
      <c r="I494">
        <f t="shared" si="7"/>
        <v>8</v>
      </c>
      <c r="J494">
        <f>Table1[[#This Row],[total_revenue]] * 0.25</f>
        <v>2</v>
      </c>
      <c r="K494" t="str">
        <f>IF(Table1[[#This Row],[unit_price]]&gt;=500,"High",IF(Table1[[#This Row],[unit_price]]&gt;100,"Medium","Low"))</f>
        <v>Low</v>
      </c>
    </row>
    <row r="495" spans="1:11" x14ac:dyDescent="0.45">
      <c r="A495">
        <v>3494</v>
      </c>
      <c r="B495" t="s">
        <v>51</v>
      </c>
      <c r="C495" t="s">
        <v>35</v>
      </c>
      <c r="D495" t="s">
        <v>22</v>
      </c>
      <c r="E495" t="s">
        <v>17</v>
      </c>
      <c r="F495">
        <v>5</v>
      </c>
      <c r="G495">
        <v>41</v>
      </c>
      <c r="H495" t="s">
        <v>20</v>
      </c>
      <c r="I495">
        <f t="shared" si="7"/>
        <v>205</v>
      </c>
      <c r="J495">
        <f>Table1[[#This Row],[total_revenue]] * 0.25</f>
        <v>51.25</v>
      </c>
      <c r="K495" t="str">
        <f>IF(Table1[[#This Row],[unit_price]]&gt;=500,"High",IF(Table1[[#This Row],[unit_price]]&gt;100,"Medium","Low"))</f>
        <v>Low</v>
      </c>
    </row>
    <row r="496" spans="1:11" x14ac:dyDescent="0.45">
      <c r="A496">
        <v>3495</v>
      </c>
      <c r="B496" t="s">
        <v>68</v>
      </c>
      <c r="C496" t="s">
        <v>43</v>
      </c>
      <c r="D496" t="s">
        <v>11</v>
      </c>
      <c r="E496" t="s">
        <v>12</v>
      </c>
      <c r="F496">
        <v>5</v>
      </c>
      <c r="G496">
        <v>342</v>
      </c>
      <c r="H496" t="s">
        <v>25</v>
      </c>
      <c r="I496">
        <f t="shared" si="7"/>
        <v>1710</v>
      </c>
      <c r="J496">
        <f>Table1[[#This Row],[total_revenue]] * 0.25</f>
        <v>427.5</v>
      </c>
      <c r="K496" t="str">
        <f>IF(Table1[[#This Row],[unit_price]]&gt;=500,"High",IF(Table1[[#This Row],[unit_price]]&gt;100,"Medium","Low"))</f>
        <v>Medium</v>
      </c>
    </row>
    <row r="497" spans="1:11" x14ac:dyDescent="0.45">
      <c r="A497">
        <v>3496</v>
      </c>
      <c r="B497" t="s">
        <v>199</v>
      </c>
      <c r="C497" t="s">
        <v>43</v>
      </c>
      <c r="D497" t="s">
        <v>65</v>
      </c>
      <c r="E497" t="s">
        <v>17</v>
      </c>
      <c r="F497">
        <v>4</v>
      </c>
      <c r="G497">
        <v>89</v>
      </c>
      <c r="H497" t="s">
        <v>13</v>
      </c>
      <c r="I497">
        <f t="shared" si="7"/>
        <v>356</v>
      </c>
      <c r="J497">
        <f>Table1[[#This Row],[total_revenue]] * 0.25</f>
        <v>89</v>
      </c>
      <c r="K497" t="str">
        <f>IF(Table1[[#This Row],[unit_price]]&gt;=500,"High",IF(Table1[[#This Row],[unit_price]]&gt;100,"Medium","Low"))</f>
        <v>Low</v>
      </c>
    </row>
    <row r="498" spans="1:11" x14ac:dyDescent="0.45">
      <c r="A498">
        <v>3497</v>
      </c>
      <c r="B498" t="s">
        <v>202</v>
      </c>
      <c r="C498" t="s">
        <v>24</v>
      </c>
      <c r="D498" t="s">
        <v>16</v>
      </c>
      <c r="E498" t="s">
        <v>17</v>
      </c>
      <c r="F498">
        <v>4</v>
      </c>
      <c r="G498">
        <v>445</v>
      </c>
      <c r="H498" t="s">
        <v>25</v>
      </c>
      <c r="I498">
        <f t="shared" si="7"/>
        <v>1780</v>
      </c>
      <c r="J498">
        <f>Table1[[#This Row],[total_revenue]] * 0.25</f>
        <v>445</v>
      </c>
      <c r="K498" t="str">
        <f>IF(Table1[[#This Row],[unit_price]]&gt;=500,"High",IF(Table1[[#This Row],[unit_price]]&gt;100,"Medium","Low"))</f>
        <v>Medium</v>
      </c>
    </row>
    <row r="499" spans="1:11" x14ac:dyDescent="0.45">
      <c r="A499">
        <v>3498</v>
      </c>
      <c r="B499" t="s">
        <v>80</v>
      </c>
      <c r="C499" t="s">
        <v>43</v>
      </c>
      <c r="D499" t="s">
        <v>41</v>
      </c>
      <c r="E499" t="s">
        <v>12</v>
      </c>
      <c r="F499">
        <v>1</v>
      </c>
      <c r="G499">
        <v>320</v>
      </c>
      <c r="H499" t="s">
        <v>20</v>
      </c>
      <c r="I499">
        <f t="shared" si="7"/>
        <v>320</v>
      </c>
      <c r="J499">
        <f>Table1[[#This Row],[total_revenue]] * 0.25</f>
        <v>80</v>
      </c>
      <c r="K499" t="str">
        <f>IF(Table1[[#This Row],[unit_price]]&gt;=500,"High",IF(Table1[[#This Row],[unit_price]]&gt;100,"Medium","Low"))</f>
        <v>Medium</v>
      </c>
    </row>
    <row r="500" spans="1:11" x14ac:dyDescent="0.45">
      <c r="A500">
        <v>3499</v>
      </c>
      <c r="B500" t="s">
        <v>161</v>
      </c>
      <c r="C500" t="s">
        <v>27</v>
      </c>
      <c r="D500" t="s">
        <v>65</v>
      </c>
      <c r="E500" t="s">
        <v>17</v>
      </c>
      <c r="F500">
        <v>3</v>
      </c>
      <c r="G500">
        <v>124</v>
      </c>
      <c r="H500" t="s">
        <v>13</v>
      </c>
      <c r="I500">
        <f t="shared" si="7"/>
        <v>372</v>
      </c>
      <c r="J500">
        <f>Table1[[#This Row],[total_revenue]] * 0.25</f>
        <v>93</v>
      </c>
      <c r="K500" t="str">
        <f>IF(Table1[[#This Row],[unit_price]]&gt;=500,"High",IF(Table1[[#This Row],[unit_price]]&gt;100,"Medium","Low"))</f>
        <v>Medium</v>
      </c>
    </row>
    <row r="501" spans="1:11" x14ac:dyDescent="0.45">
      <c r="A501">
        <v>3500</v>
      </c>
      <c r="B501" t="s">
        <v>198</v>
      </c>
      <c r="C501" t="s">
        <v>24</v>
      </c>
      <c r="D501" t="s">
        <v>41</v>
      </c>
      <c r="E501" t="s">
        <v>12</v>
      </c>
      <c r="F501">
        <v>3</v>
      </c>
      <c r="G501">
        <v>275</v>
      </c>
      <c r="H501" t="s">
        <v>20</v>
      </c>
      <c r="I501">
        <f t="shared" si="7"/>
        <v>825</v>
      </c>
      <c r="J501">
        <f>Table1[[#This Row],[total_revenue]] * 0.25</f>
        <v>206.25</v>
      </c>
      <c r="K501" t="str">
        <f>IF(Table1[[#This Row],[unit_price]]&gt;=500,"High",IF(Table1[[#This Row],[unit_price]]&gt;100,"Medium","Low"))</f>
        <v>Medium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B88D-A1B5-4709-83A6-1F4305CA0664}">
  <dimension ref="A1:E10"/>
  <sheetViews>
    <sheetView workbookViewId="0">
      <selection activeCell="L1" sqref="L1"/>
    </sheetView>
  </sheetViews>
  <sheetFormatPr defaultRowHeight="14.25" x14ac:dyDescent="0.45"/>
  <cols>
    <col min="2" max="2" width="14.86328125" customWidth="1"/>
    <col min="3" max="3" width="17.86328125" customWidth="1"/>
    <col min="4" max="4" width="17.1328125" customWidth="1"/>
  </cols>
  <sheetData>
    <row r="1" spans="1:5" x14ac:dyDescent="0.45">
      <c r="A1" t="s">
        <v>218</v>
      </c>
      <c r="B1" t="s">
        <v>219</v>
      </c>
      <c r="C1" t="s">
        <v>220</v>
      </c>
      <c r="D1" t="s">
        <v>221</v>
      </c>
      <c r="E1" t="s">
        <v>222</v>
      </c>
    </row>
    <row r="2" spans="1:5" x14ac:dyDescent="0.45">
      <c r="A2" t="s">
        <v>56</v>
      </c>
      <c r="B2">
        <v>900</v>
      </c>
      <c r="C2" t="s">
        <v>17</v>
      </c>
      <c r="D2" t="e" cm="1">
        <f t="array" ref="D2">Sales_Data!L1S</f>
        <v>#NAME?</v>
      </c>
    </row>
    <row r="3" spans="1:5" x14ac:dyDescent="0.45">
      <c r="A3" t="s">
        <v>16</v>
      </c>
      <c r="B3">
        <v>450</v>
      </c>
      <c r="C3" t="s">
        <v>17</v>
      </c>
      <c r="D3" t="e" cm="1">
        <f t="array" ref="D3">Sales_Data!L1S</f>
        <v>#NAME?</v>
      </c>
    </row>
    <row r="4" spans="1:5" x14ac:dyDescent="0.45">
      <c r="A4" t="s">
        <v>28</v>
      </c>
      <c r="B4">
        <v>25</v>
      </c>
      <c r="C4" t="s">
        <v>17</v>
      </c>
      <c r="D4" t="e" cm="1">
        <f t="array" ref="D4">Sales_Data!L1S</f>
        <v>#NAME?</v>
      </c>
    </row>
    <row r="5" spans="1:5" x14ac:dyDescent="0.45">
      <c r="A5" t="s">
        <v>22</v>
      </c>
      <c r="B5">
        <v>35</v>
      </c>
      <c r="C5" t="s">
        <v>17</v>
      </c>
      <c r="D5" t="e" cm="1">
        <f t="array" ref="D5">Sales_Data!L1S</f>
        <v>#NAME?</v>
      </c>
    </row>
    <row r="6" spans="1:5" x14ac:dyDescent="0.45">
      <c r="A6" t="s">
        <v>38</v>
      </c>
      <c r="B6">
        <v>200</v>
      </c>
      <c r="C6" t="s">
        <v>17</v>
      </c>
      <c r="D6" t="e" cm="1">
        <f t="array" ref="D6">Sales_Data!L1S</f>
        <v>#NAME?</v>
      </c>
    </row>
    <row r="7" spans="1:5" x14ac:dyDescent="0.45">
      <c r="A7" t="s">
        <v>65</v>
      </c>
      <c r="B7">
        <v>75</v>
      </c>
      <c r="C7" t="s">
        <v>17</v>
      </c>
      <c r="D7" t="e" cm="1">
        <f t="array" ref="D7">Sales_Data!L1S</f>
        <v>#NAME?</v>
      </c>
    </row>
    <row r="8" spans="1:5" x14ac:dyDescent="0.45">
      <c r="A8" t="s">
        <v>41</v>
      </c>
      <c r="B8">
        <v>300</v>
      </c>
      <c r="C8" t="s">
        <v>12</v>
      </c>
      <c r="D8" t="e" cm="1">
        <f t="array" ref="D8">Sales_Data!L1S</f>
        <v>#NAME?</v>
      </c>
    </row>
    <row r="9" spans="1:5" x14ac:dyDescent="0.45">
      <c r="A9" t="s">
        <v>36</v>
      </c>
      <c r="B9">
        <v>100</v>
      </c>
      <c r="C9" t="s">
        <v>12</v>
      </c>
      <c r="D9" t="e" cm="1">
        <f t="array" ref="D9">Sales_Data!L1S</f>
        <v>#NAME?</v>
      </c>
    </row>
    <row r="10" spans="1:5" x14ac:dyDescent="0.45">
      <c r="A10" t="s">
        <v>11</v>
      </c>
      <c r="B10">
        <v>350</v>
      </c>
      <c r="C10" t="s">
        <v>12</v>
      </c>
      <c r="D10" t="e" cm="1">
        <f t="array" ref="D10">Sales_Data!L1S</f>
        <v>#NAME?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C85-8CC1-4F2D-B6DD-BA8FC5F019F4}">
  <dimension ref="D4:F13"/>
  <sheetViews>
    <sheetView workbookViewId="0">
      <selection activeCell="F14" sqref="F14"/>
    </sheetView>
  </sheetViews>
  <sheetFormatPr defaultRowHeight="14.25" x14ac:dyDescent="0.45"/>
  <cols>
    <col min="5" max="5" width="18.3984375" customWidth="1"/>
  </cols>
  <sheetData>
    <row r="4" spans="4:6" ht="23.25" x14ac:dyDescent="0.7">
      <c r="E4" s="1" t="s">
        <v>203</v>
      </c>
    </row>
    <row r="6" spans="4:6" x14ac:dyDescent="0.45">
      <c r="D6" t="s">
        <v>204</v>
      </c>
      <c r="F6">
        <f>SUM(Table1[total_revenue])</f>
        <v>472063</v>
      </c>
    </row>
    <row r="7" spans="4:6" x14ac:dyDescent="0.45">
      <c r="D7" t="s">
        <v>205</v>
      </c>
      <c r="F7">
        <f>AVERAGE(Table1[total_revenue])</f>
        <v>944.12599999999998</v>
      </c>
    </row>
    <row r="8" spans="4:6" x14ac:dyDescent="0.45">
      <c r="D8" t="s">
        <v>206</v>
      </c>
      <c r="F8">
        <f>MAX(Table1[total_revenue])</f>
        <v>5670</v>
      </c>
    </row>
    <row r="9" spans="4:6" x14ac:dyDescent="0.45">
      <c r="D9" t="s">
        <v>207</v>
      </c>
      <c r="F9">
        <f>MIN(Table1[total_revenue])</f>
        <v>-126</v>
      </c>
    </row>
    <row r="10" spans="4:6" x14ac:dyDescent="0.45">
      <c r="D10" t="s">
        <v>214</v>
      </c>
      <c r="F10">
        <f>SUMIF(Table1[category],"Electronics",Table1[total_revenue])</f>
        <v>307627</v>
      </c>
    </row>
    <row r="11" spans="4:6" x14ac:dyDescent="0.45">
      <c r="D11" t="s">
        <v>215</v>
      </c>
      <c r="F11">
        <f>SUMIFS(Table1[total_revenue],Table1[region],"Europe",Table1[category],"Electronics")</f>
        <v>112050</v>
      </c>
    </row>
    <row r="12" spans="4:6" x14ac:dyDescent="0.45">
      <c r="D12" t="s">
        <v>216</v>
      </c>
      <c r="F12">
        <f>COUNTIF(Table1[region],"Asia")</f>
        <v>166</v>
      </c>
    </row>
    <row r="13" spans="4:6" x14ac:dyDescent="0.45">
      <c r="D13" t="s">
        <v>217</v>
      </c>
      <c r="F13">
        <f>AVERAGEIF(Table1[category],"Furniture",Table1[unit_price])</f>
        <v>258.1875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Sheet5</vt:lpstr>
      <vt:lpstr>Sheet6</vt:lpstr>
      <vt:lpstr>Sales_Data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Mumtahena Shahid</cp:lastModifiedBy>
  <dcterms:created xsi:type="dcterms:W3CDTF">2025-12-28T20:20:14Z</dcterms:created>
  <dcterms:modified xsi:type="dcterms:W3CDTF">2025-12-28T22:20:45Z</dcterms:modified>
</cp:coreProperties>
</file>